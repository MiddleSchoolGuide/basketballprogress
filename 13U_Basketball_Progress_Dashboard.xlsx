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Training Log" sheetId="2" state="visible" r:id="rId2"/>
    <sheet xmlns:r="http://schemas.openxmlformats.org/officeDocument/2006/relationships" name="Daily Checklist" sheetId="3" state="visible" r:id="rId3"/>
    <sheet xmlns:r="http://schemas.openxmlformats.org/officeDocument/2006/relationships" name="Instructions &amp; Link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4">
    <font>
      <name val="Calibri"/>
      <family val="2"/>
      <color theme="1"/>
      <sz val="11"/>
      <scheme val="minor"/>
    </font>
    <font>
      <b val="1"/>
      <color rgb="00FFFFFF"/>
    </font>
    <font>
      <color rgb="000000FF"/>
    </font>
    <font>
      <color rgb="00000000"/>
    </font>
    <font>
      <b val="1"/>
      <color rgb="00FFFFFF"/>
      <sz val="20"/>
    </font>
    <font>
      <color rgb="00FFFFFF"/>
    </font>
    <font>
      <b val="1"/>
      <color rgb="00FFFFFF"/>
      <sz val="18"/>
    </font>
    <font>
      <name val="Calibri"/>
      <family val="2"/>
      <color theme="10"/>
      <sz val="12"/>
      <scheme val="minor"/>
    </font>
    <font>
      <name val="Calibri"/>
      <b val="1"/>
      <color rgb="00FFFFFF"/>
      <sz val="20"/>
    </font>
    <font>
      <name val="Calibri"/>
      <b val="1"/>
      <color rgb="00FFFFFF"/>
    </font>
    <font>
      <name val="Calibri"/>
      <color rgb="00FFFFFF"/>
    </font>
    <font>
      <name val="Calibri"/>
      <color rgb="00000000"/>
    </font>
    <font>
      <name val="Calibri"/>
      <color rgb="000000FF"/>
    </font>
    <font>
      <name val="Calibri"/>
      <b val="1"/>
      <color rgb="00FFFFFF"/>
      <sz val="18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666666"/>
      </patternFill>
    </fill>
    <fill>
      <patternFill patternType="solid">
        <fgColor rgb="00DDEBF7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bottom style="medium">
        <color rgb="001F4E78"/>
      </bottom>
    </border>
    <border>
      <bottom style="thin">
        <color rgb="00D9D9D9"/>
      </bottom>
    </border>
  </borders>
  <cellStyleXfs count="2">
    <xf numFmtId="0" fontId="0" fillId="0" borderId="0"/>
    <xf numFmtId="0" fontId="7" fillId="0" borderId="0"/>
  </cellStyleXfs>
  <cellXfs count="27">
    <xf numFmtId="0" fontId="0" fillId="0" borderId="0" pivotButton="0" quotePrefix="0" xfId="0"/>
    <xf numFmtId="0" fontId="8" fillId="2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0" fillId="6" borderId="0" applyAlignment="1" pivotButton="0" quotePrefix="0" xfId="0">
      <alignment wrapText="1"/>
    </xf>
    <xf numFmtId="0" fontId="9" fillId="2" borderId="0" applyAlignment="1" pivotButton="0" quotePrefix="0" xfId="0">
      <alignment horizontal="center" wrapText="1"/>
    </xf>
    <xf numFmtId="0" fontId="0" fillId="0" borderId="2" applyAlignment="1" pivotButton="0" quotePrefix="0" xfId="0">
      <alignment horizontal="left" wrapText="1"/>
    </xf>
    <xf numFmtId="0" fontId="0" fillId="0" borderId="2" applyAlignment="1" pivotButton="0" quotePrefix="0" xfId="0">
      <alignment horizontal="center" wrapText="1"/>
    </xf>
    <xf numFmtId="9" fontId="0" fillId="0" borderId="2" applyAlignment="1" pivotButton="0" quotePrefix="0" xfId="0">
      <alignment horizontal="center" wrapText="1"/>
    </xf>
    <xf numFmtId="164" fontId="0" fillId="0" borderId="2" applyAlignment="1" pivotButton="0" quotePrefix="0" xfId="0">
      <alignment horizontal="center" wrapText="1"/>
    </xf>
    <xf numFmtId="0" fontId="9" fillId="2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10" fillId="5" borderId="0" applyAlignment="1" pivotButton="0" quotePrefix="0" xfId="0">
      <alignment horizontal="center" wrapText="1"/>
    </xf>
    <xf numFmtId="0" fontId="11" fillId="0" borderId="0" applyAlignment="1" pivotButton="0" quotePrefix="0" xfId="0">
      <alignment horizontal="center" wrapText="1"/>
    </xf>
    <xf numFmtId="0" fontId="9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top" wrapText="1"/>
    </xf>
    <xf numFmtId="0" fontId="12" fillId="3" borderId="2" applyAlignment="1" pivotButton="0" quotePrefix="0" xfId="0">
      <alignment vertical="top" wrapText="1"/>
    </xf>
    <xf numFmtId="165" fontId="12" fillId="3" borderId="2" applyAlignment="1" pivotButton="0" quotePrefix="0" xfId="0">
      <alignment vertical="top" wrapText="1"/>
    </xf>
    <xf numFmtId="164" fontId="11" fillId="0" borderId="2" applyAlignment="1" pivotButton="0" quotePrefix="0" xfId="0">
      <alignment vertical="top" wrapText="1"/>
    </xf>
    <xf numFmtId="165" fontId="0" fillId="0" borderId="0" applyAlignment="1" pivotButton="0" quotePrefix="0" xfId="0">
      <alignment wrapText="1"/>
    </xf>
    <xf numFmtId="164" fontId="0" fillId="0" borderId="0" applyAlignment="1" pivotButton="0" quotePrefix="0" xfId="0">
      <alignment wrapText="1"/>
    </xf>
    <xf numFmtId="0" fontId="9" fillId="4" borderId="0" applyAlignment="1" pivotButton="0" quotePrefix="0" xfId="0">
      <alignment wrapText="1"/>
    </xf>
    <xf numFmtId="0" fontId="9" fillId="5" borderId="0" applyAlignment="1" pivotButton="0" quotePrefix="0" xfId="0">
      <alignment wrapText="1"/>
    </xf>
    <xf numFmtId="0" fontId="0" fillId="0" borderId="2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 wrapText="1"/>
    </xf>
    <xf numFmtId="9" fontId="0" fillId="0" borderId="2" applyAlignment="1" pivotButton="0" quotePrefix="0" xfId="0">
      <alignment horizontal="center" vertical="center" wrapText="1"/>
    </xf>
    <xf numFmtId="0" fontId="13" fillId="2" borderId="0" applyAlignment="1" pivotButton="0" quotePrefix="0" xfId="0">
      <alignment wrapText="1"/>
    </xf>
    <xf numFmtId="0" fontId="7" fillId="0" borderId="0" applyAlignment="1" pivotButton="0" quotePrefix="0" xfId="1">
      <alignment wrapText="1"/>
    </xf>
  </cellXfs>
  <cellStyles count="2">
    <cellStyle name="Normal" xfId="0" builtinId="0" hidden="0"/>
    <cellStyle name="Hyperlink" xfId="1" builtinId="8" hidden="0"/>
  </cellStyles>
  <dxfs count="3">
    <dxf>
      <fill>
        <patternFill patternType="solid">
          <fgColor rgb="00F4CCCC"/>
        </patternFill>
      </fill>
    </dxf>
    <dxf>
      <fill>
        <patternFill patternType="solid">
          <fgColor rgb="00FCE4D6"/>
        </patternFill>
      </fill>
    </dxf>
    <dxf>
      <fill>
        <patternFill patternType="solid">
          <fgColor rgb="00E2F0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Fundamentals Rating Trend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'Dashboard'!B14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'Dashboard'!$A$15:$A$28</f>
            </numRef>
          </cat>
          <val>
            <numRef>
              <f>'Dashboard'!$B$15:$B$28</f>
            </numRef>
          </val>
        </ser>
        <ser>
          <idx val="1"/>
          <order val="1"/>
          <tx>
            <strRef>
              <f>'Dashboard'!C14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'Dashboard'!$A$15:$A$28</f>
            </numRef>
          </cat>
          <val>
            <numRef>
              <f>'Dashboard'!$C$15:$C$28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Rating (1-10)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Shooting Percentage Trend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'Dashboard'!D14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'Dashboard'!$A$15:$A$28</f>
            </numRef>
          </cat>
          <val>
            <numRef>
              <f>'Dashboard'!$D$15:$D$28</f>
            </numRef>
          </val>
        </ser>
        <ser>
          <idx val="1"/>
          <order val="1"/>
          <tx>
            <strRef>
              <f>'Dashboard'!E14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'Dashboard'!$A$15:$A$28</f>
            </numRef>
          </cat>
          <val>
            <numRef>
              <f>'Dashboard'!$E$15:$E$28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Percentage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Footwork &amp; Stop-and-Pop Trend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'Dashboard'!F14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'Dashboard'!$A$15:$A$28</f>
            </numRef>
          </cat>
          <val>
            <numRef>
              <f>'Dashboard'!$F$15:$F$28</f>
            </numRef>
          </val>
        </ser>
        <ser>
          <idx val="1"/>
          <order val="1"/>
          <tx>
            <strRef>
              <f>'Dashboard'!G14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'Dashboard'!$A$15:$A$28</f>
            </numRef>
          </cat>
          <val>
            <numRef>
              <f>'Dashboard'!$G$15:$G$28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Rating (1-10)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OpenAI</author>
  </authors>
  <commentList>
    <comment ref="D2" authorId="0" shapeId="0">
      <text>
        <t>Blue cell: user input after each training session.</t>
      </text>
    </comment>
    <comment ref="E2" authorId="0" shapeId="0">
      <text>
        <t>Blue cell: user input after each training session.</t>
      </text>
    </comment>
    <comment ref="F2" authorId="0" shapeId="0">
      <text>
        <t>Blue cell: user input after each training session.</t>
      </text>
    </comment>
    <comment ref="G2" authorId="0" shapeId="0">
      <text>
        <t>Blue cell: user input after each training session.</t>
      </text>
    </comment>
    <comment ref="H2" authorId="0" shapeId="0">
      <text>
        <t>Blue cell: user input after each training session.</t>
      </text>
    </comment>
    <comment ref="J2" authorId="0" shapeId="0">
      <text>
        <t>Blue cell: user input after each training session.</t>
      </text>
    </comment>
    <comment ref="L2" authorId="0" shapeId="0">
      <text>
        <t>Blue cell: user input after each training session.</t>
      </text>
    </comment>
    <comment ref="N2" authorId="0" shapeId="0">
      <text>
        <t>Blue cell: user input after each training session.</t>
      </text>
    </comment>
    <comment ref="O2" authorId="0" shapeId="0">
      <text>
        <t>Blue cell: user input after each training session.</t>
      </text>
    </comment>
    <comment ref="P2" authorId="0" shapeId="0">
      <text>
        <t>Blue cell: user input after each training session.</t>
      </text>
    </comment>
    <comment ref="D3" authorId="0" shapeId="0">
      <text>
        <t>Blue cell: user input after each training session.</t>
      </text>
    </comment>
    <comment ref="E3" authorId="0" shapeId="0">
      <text>
        <t>Blue cell: user input after each training session.</t>
      </text>
    </comment>
    <comment ref="F3" authorId="0" shapeId="0">
      <text>
        <t>Blue cell: user input after each training session.</t>
      </text>
    </comment>
    <comment ref="G3" authorId="0" shapeId="0">
      <text>
        <t>Blue cell: user input after each training session.</t>
      </text>
    </comment>
    <comment ref="H3" authorId="0" shapeId="0">
      <text>
        <t>Blue cell: user input after each training session.</t>
      </text>
    </comment>
    <comment ref="J3" authorId="0" shapeId="0">
      <text>
        <t>Blue cell: user input after each training session.</t>
      </text>
    </comment>
    <comment ref="L3" authorId="0" shapeId="0">
      <text>
        <t>Blue cell: user input after each training session.</t>
      </text>
    </comment>
    <comment ref="N3" authorId="0" shapeId="0">
      <text>
        <t>Blue cell: user input after each training session.</t>
      </text>
    </comment>
    <comment ref="O3" authorId="0" shapeId="0">
      <text>
        <t>Blue cell: user input after each training session.</t>
      </text>
    </comment>
    <comment ref="P3" authorId="0" shapeId="0">
      <text>
        <t>Blue cell: user input after each training session.</t>
      </text>
    </comment>
    <comment ref="D4" authorId="0" shapeId="0">
      <text>
        <t>Blue cell: user input after each training session.</t>
      </text>
    </comment>
    <comment ref="E4" authorId="0" shapeId="0">
      <text>
        <t>Blue cell: user input after each training session.</t>
      </text>
    </comment>
    <comment ref="F4" authorId="0" shapeId="0">
      <text>
        <t>Blue cell: user input after each training session.</t>
      </text>
    </comment>
    <comment ref="G4" authorId="0" shapeId="0">
      <text>
        <t>Blue cell: user input after each training session.</t>
      </text>
    </comment>
    <comment ref="H4" authorId="0" shapeId="0">
      <text>
        <t>Blue cell: user input after each training session.</t>
      </text>
    </comment>
    <comment ref="J4" authorId="0" shapeId="0">
      <text>
        <t>Blue cell: user input after each training session.</t>
      </text>
    </comment>
    <comment ref="L4" authorId="0" shapeId="0">
      <text>
        <t>Blue cell: user input after each training session.</t>
      </text>
    </comment>
    <comment ref="N4" authorId="0" shapeId="0">
      <text>
        <t>Blue cell: user input after each training session.</t>
      </text>
    </comment>
    <comment ref="O4" authorId="0" shapeId="0">
      <text>
        <t>Blue cell: user input after each training session.</t>
      </text>
    </comment>
    <comment ref="P4" authorId="0" shapeId="0">
      <text>
        <t>Blue cell: user input after each training session.</t>
      </text>
    </comment>
    <comment ref="D5" authorId="0" shapeId="0">
      <text>
        <t>Blue cell: user input after each training session.</t>
      </text>
    </comment>
    <comment ref="E5" authorId="0" shapeId="0">
      <text>
        <t>Blue cell: user input after each training session.</t>
      </text>
    </comment>
    <comment ref="F5" authorId="0" shapeId="0">
      <text>
        <t>Blue cell: user input after each training session.</t>
      </text>
    </comment>
    <comment ref="G5" authorId="0" shapeId="0">
      <text>
        <t>Blue cell: user input after each training session.</t>
      </text>
    </comment>
    <comment ref="H5" authorId="0" shapeId="0">
      <text>
        <t>Blue cell: user input after each training session.</t>
      </text>
    </comment>
    <comment ref="J5" authorId="0" shapeId="0">
      <text>
        <t>Blue cell: user input after each training session.</t>
      </text>
    </comment>
    <comment ref="L5" authorId="0" shapeId="0">
      <text>
        <t>Blue cell: user input after each training session.</t>
      </text>
    </comment>
    <comment ref="N5" authorId="0" shapeId="0">
      <text>
        <t>Blue cell: user input after each training session.</t>
      </text>
    </comment>
    <comment ref="O5" authorId="0" shapeId="0">
      <text>
        <t>Blue cell: user input after each training session.</t>
      </text>
    </comment>
    <comment ref="P5" authorId="0" shapeId="0">
      <text>
        <t>Blue cell: user input after each training session.</t>
      </text>
    </comment>
    <comment ref="D6" authorId="0" shapeId="0">
      <text>
        <t>Blue cell: user input after each training session.</t>
      </text>
    </comment>
    <comment ref="E6" authorId="0" shapeId="0">
      <text>
        <t>Blue cell: user input after each training session.</t>
      </text>
    </comment>
    <comment ref="F6" authorId="0" shapeId="0">
      <text>
        <t>Blue cell: user input after each training session.</t>
      </text>
    </comment>
    <comment ref="G6" authorId="0" shapeId="0">
      <text>
        <t>Blue cell: user input after each training session.</t>
      </text>
    </comment>
    <comment ref="H6" authorId="0" shapeId="0">
      <text>
        <t>Blue cell: user input after each training session.</t>
      </text>
    </comment>
    <comment ref="J6" authorId="0" shapeId="0">
      <text>
        <t>Blue cell: user input after each training session.</t>
      </text>
    </comment>
    <comment ref="L6" authorId="0" shapeId="0">
      <text>
        <t>Blue cell: user input after each training session.</t>
      </text>
    </comment>
    <comment ref="N6" authorId="0" shapeId="0">
      <text>
        <t>Blue cell: user input after each training session.</t>
      </text>
    </comment>
    <comment ref="O6" authorId="0" shapeId="0">
      <text>
        <t>Blue cell: user input after each training session.</t>
      </text>
    </comment>
    <comment ref="P6" authorId="0" shapeId="0">
      <text>
        <t>Blue cell: user input after each training session.</t>
      </text>
    </comment>
    <comment ref="D7" authorId="0" shapeId="0">
      <text>
        <t>Blue cell: user input after each training session.</t>
      </text>
    </comment>
    <comment ref="E7" authorId="0" shapeId="0">
      <text>
        <t>Blue cell: user input after each training session.</t>
      </text>
    </comment>
    <comment ref="F7" authorId="0" shapeId="0">
      <text>
        <t>Blue cell: user input after each training session.</t>
      </text>
    </comment>
    <comment ref="G7" authorId="0" shapeId="0">
      <text>
        <t>Blue cell: user input after each training session.</t>
      </text>
    </comment>
    <comment ref="H7" authorId="0" shapeId="0">
      <text>
        <t>Blue cell: user input after each training session.</t>
      </text>
    </comment>
    <comment ref="J7" authorId="0" shapeId="0">
      <text>
        <t>Blue cell: user input after each training session.</t>
      </text>
    </comment>
    <comment ref="L7" authorId="0" shapeId="0">
      <text>
        <t>Blue cell: user input after each training session.</t>
      </text>
    </comment>
    <comment ref="N7" authorId="0" shapeId="0">
      <text>
        <t>Blue cell: user input after each training session.</t>
      </text>
    </comment>
    <comment ref="O7" authorId="0" shapeId="0">
      <text>
        <t>Blue cell: user input after each training session.</t>
      </text>
    </comment>
    <comment ref="P7" authorId="0" shapeId="0">
      <text>
        <t>Blue cell: user input after each training session.</t>
      </text>
    </comment>
    <comment ref="D8" authorId="0" shapeId="0">
      <text>
        <t>Blue cell: user input after each training session.</t>
      </text>
    </comment>
    <comment ref="E8" authorId="0" shapeId="0">
      <text>
        <t>Blue cell: user input after each training session.</t>
      </text>
    </comment>
    <comment ref="F8" authorId="0" shapeId="0">
      <text>
        <t>Blue cell: user input after each training session.</t>
      </text>
    </comment>
    <comment ref="G8" authorId="0" shapeId="0">
      <text>
        <t>Blue cell: user input after each training session.</t>
      </text>
    </comment>
    <comment ref="H8" authorId="0" shapeId="0">
      <text>
        <t>Blue cell: user input after each training session.</t>
      </text>
    </comment>
    <comment ref="J8" authorId="0" shapeId="0">
      <text>
        <t>Blue cell: user input after each training session.</t>
      </text>
    </comment>
    <comment ref="L8" authorId="0" shapeId="0">
      <text>
        <t>Blue cell: user input after each training session.</t>
      </text>
    </comment>
    <comment ref="N8" authorId="0" shapeId="0">
      <text>
        <t>Blue cell: user input after each training session.</t>
      </text>
    </comment>
    <comment ref="O8" authorId="0" shapeId="0">
      <text>
        <t>Blue cell: user input after each training session.</t>
      </text>
    </comment>
    <comment ref="P8" authorId="0" shapeId="0">
      <text>
        <t>Blue cell: user input after each training session.</t>
      </text>
    </comment>
    <comment ref="D9" authorId="0" shapeId="0">
      <text>
        <t>Blue cell: user input after each training session.</t>
      </text>
    </comment>
    <comment ref="E9" authorId="0" shapeId="0">
      <text>
        <t>Blue cell: user input after each training session.</t>
      </text>
    </comment>
    <comment ref="F9" authorId="0" shapeId="0">
      <text>
        <t>Blue cell: user input after each training session.</t>
      </text>
    </comment>
    <comment ref="G9" authorId="0" shapeId="0">
      <text>
        <t>Blue cell: user input after each training session.</t>
      </text>
    </comment>
    <comment ref="H9" authorId="0" shapeId="0">
      <text>
        <t>Blue cell: user input after each training session.</t>
      </text>
    </comment>
    <comment ref="J9" authorId="0" shapeId="0">
      <text>
        <t>Blue cell: user input after each training session.</t>
      </text>
    </comment>
    <comment ref="L9" authorId="0" shapeId="0">
      <text>
        <t>Blue cell: user input after each training session.</t>
      </text>
    </comment>
    <comment ref="N9" authorId="0" shapeId="0">
      <text>
        <t>Blue cell: user input after each training session.</t>
      </text>
    </comment>
    <comment ref="O9" authorId="0" shapeId="0">
      <text>
        <t>Blue cell: user input after each training session.</t>
      </text>
    </comment>
    <comment ref="P9" authorId="0" shapeId="0">
      <text>
        <t>Blue cell: user input after each training session.</t>
      </text>
    </comment>
    <comment ref="D10" authorId="0" shapeId="0">
      <text>
        <t>Blue cell: user input after each training session.</t>
      </text>
    </comment>
    <comment ref="E10" authorId="0" shapeId="0">
      <text>
        <t>Blue cell: user input after each training session.</t>
      </text>
    </comment>
    <comment ref="F10" authorId="0" shapeId="0">
      <text>
        <t>Blue cell: user input after each training session.</t>
      </text>
    </comment>
    <comment ref="G10" authorId="0" shapeId="0">
      <text>
        <t>Blue cell: user input after each training session.</t>
      </text>
    </comment>
    <comment ref="H10" authorId="0" shapeId="0">
      <text>
        <t>Blue cell: user input after each training session.</t>
      </text>
    </comment>
    <comment ref="J10" authorId="0" shapeId="0">
      <text>
        <t>Blue cell: user input after each training session.</t>
      </text>
    </comment>
    <comment ref="L10" authorId="0" shapeId="0">
      <text>
        <t>Blue cell: user input after each training session.</t>
      </text>
    </comment>
    <comment ref="N10" authorId="0" shapeId="0">
      <text>
        <t>Blue cell: user input after each training session.</t>
      </text>
    </comment>
    <comment ref="O10" authorId="0" shapeId="0">
      <text>
        <t>Blue cell: user input after each training session.</t>
      </text>
    </comment>
    <comment ref="P10" authorId="0" shapeId="0">
      <text>
        <t>Blue cell: user input after each training session.</t>
      </text>
    </comment>
    <comment ref="D11" authorId="0" shapeId="0">
      <text>
        <t>Blue cell: user input after each training session.</t>
      </text>
    </comment>
    <comment ref="E11" authorId="0" shapeId="0">
      <text>
        <t>Blue cell: user input after each training session.</t>
      </text>
    </comment>
    <comment ref="F11" authorId="0" shapeId="0">
      <text>
        <t>Blue cell: user input after each training session.</t>
      </text>
    </comment>
    <comment ref="G11" authorId="0" shapeId="0">
      <text>
        <t>Blue cell: user input after each training session.</t>
      </text>
    </comment>
    <comment ref="H11" authorId="0" shapeId="0">
      <text>
        <t>Blue cell: user input after each training session.</t>
      </text>
    </comment>
    <comment ref="J11" authorId="0" shapeId="0">
      <text>
        <t>Blue cell: user input after each training session.</t>
      </text>
    </comment>
    <comment ref="L11" authorId="0" shapeId="0">
      <text>
        <t>Blue cell: user input after each training session.</t>
      </text>
    </comment>
    <comment ref="N11" authorId="0" shapeId="0">
      <text>
        <t>Blue cell: user input after each training session.</t>
      </text>
    </comment>
    <comment ref="O11" authorId="0" shapeId="0">
      <text>
        <t>Blue cell: user input after each training session.</t>
      </text>
    </comment>
    <comment ref="P11" authorId="0" shapeId="0">
      <text>
        <t>Blue cell: user input after each training session.</t>
      </text>
    </comment>
    <comment ref="D12" authorId="0" shapeId="0">
      <text>
        <t>Blue cell: user input after each training session.</t>
      </text>
    </comment>
    <comment ref="E12" authorId="0" shapeId="0">
      <text>
        <t>Blue cell: user input after each training session.</t>
      </text>
    </comment>
    <comment ref="F12" authorId="0" shapeId="0">
      <text>
        <t>Blue cell: user input after each training session.</t>
      </text>
    </comment>
    <comment ref="G12" authorId="0" shapeId="0">
      <text>
        <t>Blue cell: user input after each training session.</t>
      </text>
    </comment>
    <comment ref="H12" authorId="0" shapeId="0">
      <text>
        <t>Blue cell: user input after each training session.</t>
      </text>
    </comment>
    <comment ref="J12" authorId="0" shapeId="0">
      <text>
        <t>Blue cell: user input after each training session.</t>
      </text>
    </comment>
    <comment ref="L12" authorId="0" shapeId="0">
      <text>
        <t>Blue cell: user input after each training session.</t>
      </text>
    </comment>
    <comment ref="N12" authorId="0" shapeId="0">
      <text>
        <t>Blue cell: user input after each training session.</t>
      </text>
    </comment>
    <comment ref="O12" authorId="0" shapeId="0">
      <text>
        <t>Blue cell: user input after each training session.</t>
      </text>
    </comment>
    <comment ref="P12" authorId="0" shapeId="0">
      <text>
        <t>Blue cell: user input after each training session.</t>
      </text>
    </comment>
    <comment ref="D13" authorId="0" shapeId="0">
      <text>
        <t>Blue cell: user input after each training session.</t>
      </text>
    </comment>
    <comment ref="E13" authorId="0" shapeId="0">
      <text>
        <t>Blue cell: user input after each training session.</t>
      </text>
    </comment>
    <comment ref="F13" authorId="0" shapeId="0">
      <text>
        <t>Blue cell: user input after each training session.</t>
      </text>
    </comment>
    <comment ref="G13" authorId="0" shapeId="0">
      <text>
        <t>Blue cell: user input after each training session.</t>
      </text>
    </comment>
    <comment ref="H13" authorId="0" shapeId="0">
      <text>
        <t>Blue cell: user input after each training session.</t>
      </text>
    </comment>
    <comment ref="J13" authorId="0" shapeId="0">
      <text>
        <t>Blue cell: user input after each training session.</t>
      </text>
    </comment>
    <comment ref="L13" authorId="0" shapeId="0">
      <text>
        <t>Blue cell: user input after each training session.</t>
      </text>
    </comment>
    <comment ref="N13" authorId="0" shapeId="0">
      <text>
        <t>Blue cell: user input after each training session.</t>
      </text>
    </comment>
    <comment ref="O13" authorId="0" shapeId="0">
      <text>
        <t>Blue cell: user input after each training session.</t>
      </text>
    </comment>
    <comment ref="P13" authorId="0" shapeId="0">
      <text>
        <t>Blue cell: user input after each training session.</t>
      </text>
    </comment>
    <comment ref="D14" authorId="0" shapeId="0">
      <text>
        <t>Blue cell: user input after each training session.</t>
      </text>
    </comment>
    <comment ref="E14" authorId="0" shapeId="0">
      <text>
        <t>Blue cell: user input after each training session.</t>
      </text>
    </comment>
    <comment ref="F14" authorId="0" shapeId="0">
      <text>
        <t>Blue cell: user input after each training session.</t>
      </text>
    </comment>
    <comment ref="G14" authorId="0" shapeId="0">
      <text>
        <t>Blue cell: user input after each training session.</t>
      </text>
    </comment>
    <comment ref="H14" authorId="0" shapeId="0">
      <text>
        <t>Blue cell: user input after each training session.</t>
      </text>
    </comment>
    <comment ref="J14" authorId="0" shapeId="0">
      <text>
        <t>Blue cell: user input after each training session.</t>
      </text>
    </comment>
    <comment ref="L14" authorId="0" shapeId="0">
      <text>
        <t>Blue cell: user input after each training session.</t>
      </text>
    </comment>
    <comment ref="N14" authorId="0" shapeId="0">
      <text>
        <t>Blue cell: user input after each training session.</t>
      </text>
    </comment>
    <comment ref="O14" authorId="0" shapeId="0">
      <text>
        <t>Blue cell: user input after each training session.</t>
      </text>
    </comment>
    <comment ref="P14" authorId="0" shapeId="0">
      <text>
        <t>Blue cell: user input after each training session.</t>
      </text>
    </comment>
    <comment ref="D15" authorId="0" shapeId="0">
      <text>
        <t>Blue cell: user input after each training session.</t>
      </text>
    </comment>
    <comment ref="E15" authorId="0" shapeId="0">
      <text>
        <t>Blue cell: user input after each training session.</t>
      </text>
    </comment>
    <comment ref="F15" authorId="0" shapeId="0">
      <text>
        <t>Blue cell: user input after each training session.</t>
      </text>
    </comment>
    <comment ref="G15" authorId="0" shapeId="0">
      <text>
        <t>Blue cell: user input after each training session.</t>
      </text>
    </comment>
    <comment ref="H15" authorId="0" shapeId="0">
      <text>
        <t>Blue cell: user input after each training session.</t>
      </text>
    </comment>
    <comment ref="J15" authorId="0" shapeId="0">
      <text>
        <t>Blue cell: user input after each training session.</t>
      </text>
    </comment>
    <comment ref="L15" authorId="0" shapeId="0">
      <text>
        <t>Blue cell: user input after each training session.</t>
      </text>
    </comment>
    <comment ref="N15" authorId="0" shapeId="0">
      <text>
        <t>Blue cell: user input after each training session.</t>
      </text>
    </comment>
    <comment ref="O15" authorId="0" shapeId="0">
      <text>
        <t>Blue cell: user input after each training session.</t>
      </text>
    </comment>
    <comment ref="P15" authorId="0" shapeId="0">
      <text>
        <t>Blue cell: user input after each training session.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7</col>
      <colOff>0</colOff>
      <row>3</row>
      <rowOff>0</rowOff>
    </from>
    <ext cx="468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19</row>
      <rowOff>0</rowOff>
    </from>
    <ext cx="468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7</col>
      <colOff>0</colOff>
      <row>35</row>
      <rowOff>0</rowOff>
    </from>
    <ext cx="468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hyperlink" Target="https://www.youtube.com/results?search_query=weak+hand+basketball+dribbling+drills+youth" TargetMode="External" Id="rId1"/><Relationship Type="http://schemas.openxmlformats.org/officeDocument/2006/relationships/hyperlink" Target="https://www.youtube.com/results?search_query=basketball+form+shooting+fundamentals+youth" TargetMode="External" Id="rId2"/><Relationship Type="http://schemas.openxmlformats.org/officeDocument/2006/relationships/hyperlink" Target="https://www.youtube.com/results?search_query=basketball+guide+hand+thumb+flick+fix" TargetMode="External" Id="rId3"/><Relationship Type="http://schemas.openxmlformats.org/officeDocument/2006/relationships/hyperlink" Target="https://www.youtube.com/results?search_query=basketball+free+throw+routine+fundamentals" TargetMode="External" Id="rId4"/><Relationship Type="http://schemas.openxmlformats.org/officeDocument/2006/relationships/hyperlink" Target="https://www.youtube.com/results?search_query=basketball+stop+and+pop+footwork+drill" TargetMode="External" Id="rId5"/><Relationship Type="http://schemas.openxmlformats.org/officeDocument/2006/relationships/hyperlink" Target="https://www.youtube.com/results?search_query=basketball+post+footwork+drills+youth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 ht="28" customHeight="1">
      <c r="A1" s="1" t="inlineStr">
        <is>
          <t>13U Basketball Progress Dashboard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>
      <c r="A2" s="3" t="inlineStr">
        <is>
          <t>Designed for a 3/4/5 position player: track weak-hand control, form shooting, free throws, spot shooting, footwork, and stop-and-pop speed.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</row>
    <row r="4" ht="24" customHeight="1">
      <c r="A4" s="4" t="inlineStr">
        <is>
          <t>Metric</t>
        </is>
      </c>
      <c r="B4" s="4" t="inlineStr">
        <is>
          <t>Baseline</t>
        </is>
      </c>
      <c r="C4" s="4" t="inlineStr">
        <is>
          <t>Latest</t>
        </is>
      </c>
      <c r="D4" s="4" t="inlineStr">
        <is>
          <t>Target</t>
        </is>
      </c>
      <c r="E4" s="4" t="inlineStr">
        <is>
          <t>Progress vs Target</t>
        </is>
      </c>
      <c r="F4" s="4" t="inlineStr">
        <is>
          <t>Status</t>
        </is>
      </c>
      <c r="G4" s="2" t="n"/>
      <c r="H4" s="2" t="n"/>
      <c r="I4" s="2" t="n"/>
      <c r="J4" s="2" t="n"/>
      <c r="K4" s="2" t="n"/>
      <c r="L4" s="2" t="n"/>
    </row>
    <row r="5" ht="24" customHeight="1">
      <c r="A5" s="5" t="inlineStr">
        <is>
          <t>Left-Hand Control</t>
        </is>
      </c>
      <c r="B5" s="6">
        <f>'Training Log'!D$18</f>
        <v/>
      </c>
      <c r="C5" s="6">
        <f>'Training Log'!D$20</f>
        <v/>
      </c>
      <c r="D5" s="6">
        <f>'Training Log'!D$19</f>
        <v/>
      </c>
      <c r="E5" s="7">
        <f>IFERROR((C5-B5)/(D5-B5),"")</f>
        <v/>
      </c>
      <c r="F5" s="6">
        <f>IF(C5="","No Data",IF(C5&gt;=D5,"Target Met",IF(E5&gt;=0.5,"On Track","Needs Work")))</f>
        <v/>
      </c>
      <c r="G5" s="2" t="n"/>
      <c r="H5" s="2" t="n"/>
      <c r="I5" s="2" t="n"/>
      <c r="J5" s="2" t="n"/>
      <c r="K5" s="2" t="n"/>
      <c r="L5" s="2" t="n"/>
    </row>
    <row r="6" ht="24" customHeight="1">
      <c r="A6" s="5" t="inlineStr">
        <is>
          <t>Guide Hand Form</t>
        </is>
      </c>
      <c r="B6" s="6">
        <f>'Training Log'!G$18</f>
        <v/>
      </c>
      <c r="C6" s="6">
        <f>'Training Log'!G$20</f>
        <v/>
      </c>
      <c r="D6" s="6">
        <f>'Training Log'!G$19</f>
        <v/>
      </c>
      <c r="E6" s="7">
        <f>IFERROR((C6-B6)/(D6-B6),"")</f>
        <v/>
      </c>
      <c r="F6" s="6">
        <f>IF(C6="","No Data",IF(C6&gt;=D6,"Target Met",IF(E6&gt;=0.5,"On Track","Needs Work")))</f>
        <v/>
      </c>
      <c r="G6" s="2" t="n"/>
      <c r="H6" s="2" t="n"/>
      <c r="I6" s="2" t="n"/>
      <c r="J6" s="2" t="n"/>
      <c r="K6" s="2" t="n"/>
      <c r="L6" s="2" t="n"/>
    </row>
    <row r="7" ht="24" customHeight="1">
      <c r="A7" s="5" t="inlineStr">
        <is>
          <t>Free Throw %</t>
        </is>
      </c>
      <c r="B7" s="8">
        <f>'Training Log'!I$18</f>
        <v/>
      </c>
      <c r="C7" s="8">
        <f>'Training Log'!I$20</f>
        <v/>
      </c>
      <c r="D7" s="8">
        <f>'Training Log'!I$19</f>
        <v/>
      </c>
      <c r="E7" s="7">
        <f>IFERROR((C7-B7)/(D7-B7),"")</f>
        <v/>
      </c>
      <c r="F7" s="6">
        <f>IF(C7="","No Data",IF(C7&gt;=D7,"Target Met",IF(E7&gt;=0.5,"On Track","Needs Work")))</f>
        <v/>
      </c>
      <c r="G7" s="2" t="n"/>
      <c r="H7" s="2" t="n"/>
      <c r="I7" s="2" t="n"/>
      <c r="J7" s="2" t="n"/>
      <c r="K7" s="2" t="n"/>
      <c r="L7" s="2" t="n"/>
    </row>
    <row r="8" ht="24" customHeight="1">
      <c r="A8" s="5" t="inlineStr">
        <is>
          <t>Spot Shooting %</t>
        </is>
      </c>
      <c r="B8" s="8">
        <f>'Training Log'!K$18</f>
        <v/>
      </c>
      <c r="C8" s="8">
        <f>'Training Log'!K$20</f>
        <v/>
      </c>
      <c r="D8" s="8">
        <f>'Training Log'!K$19</f>
        <v/>
      </c>
      <c r="E8" s="7">
        <f>IFERROR((C8-B8)/(D8-B8),"")</f>
        <v/>
      </c>
      <c r="F8" s="6">
        <f>IF(C8="","No Data",IF(C8&gt;=D8,"Target Met",IF(E8&gt;=0.5,"On Track","Needs Work")))</f>
        <v/>
      </c>
      <c r="G8" s="2" t="n"/>
      <c r="H8" s="2" t="n"/>
      <c r="I8" s="2" t="n"/>
      <c r="J8" s="2" t="n"/>
      <c r="K8" s="2" t="n"/>
      <c r="L8" s="2" t="n"/>
    </row>
    <row r="9" ht="24" customHeight="1">
      <c r="A9" s="5" t="inlineStr">
        <is>
          <t>Stop &amp; Pop Speed</t>
        </is>
      </c>
      <c r="B9" s="6">
        <f>'Training Log'!O$18</f>
        <v/>
      </c>
      <c r="C9" s="6">
        <f>'Training Log'!O$20</f>
        <v/>
      </c>
      <c r="D9" s="6">
        <f>'Training Log'!O$19</f>
        <v/>
      </c>
      <c r="E9" s="7">
        <f>IFERROR((C9-B9)/(D9-B9),"")</f>
        <v/>
      </c>
      <c r="F9" s="6">
        <f>IF(C9="","No Data",IF(C9&gt;=D9,"Target Met",IF(E9&gt;=0.5,"On Track","Needs Work")))</f>
        <v/>
      </c>
      <c r="G9" s="2" t="n"/>
      <c r="H9" s="2" t="n"/>
      <c r="I9" s="2" t="n"/>
      <c r="J9" s="2" t="n"/>
      <c r="K9" s="2" t="n"/>
      <c r="L9" s="2" t="n"/>
    </row>
    <row r="10" ht="24" customHeight="1">
      <c r="A10" s="5" t="inlineStr">
        <is>
          <t>Big Player Skill</t>
        </is>
      </c>
      <c r="B10" s="6">
        <f>'Training Log'!P$18</f>
        <v/>
      </c>
      <c r="C10" s="6">
        <f>'Training Log'!P$20</f>
        <v/>
      </c>
      <c r="D10" s="6">
        <f>'Training Log'!P$19</f>
        <v/>
      </c>
      <c r="E10" s="7">
        <f>IFERROR((C10-B10)/(D10-B10),"")</f>
        <v/>
      </c>
      <c r="F10" s="6">
        <f>IF(C10="","No Data",IF(C10&gt;=D10,"Target Met",IF(E10&gt;=0.5,"On Track","Needs Work")))</f>
        <v/>
      </c>
      <c r="G10" s="2" t="n"/>
      <c r="H10" s="2" t="n"/>
      <c r="I10" s="2" t="n"/>
      <c r="J10" s="2" t="n"/>
      <c r="K10" s="2" t="n"/>
      <c r="L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</row>
    <row r="12">
      <c r="A12" s="9" t="inlineStr">
        <is>
          <t>Coach Notes / Decision Rule</t>
        </is>
      </c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</row>
    <row r="13" ht="50" customHeight="1">
      <c r="A13" s="10" t="inlineStr">
        <is>
          <t>Do not modify the whole plan after one workout. Train this adjustment for 14 days, then compare latest values to baseline and targets. Focus 60–70% of work on weak hand, shooting mechanics, and footwork speed.</t>
        </is>
      </c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</row>
    <row r="14">
      <c r="A14" s="11" t="inlineStr">
        <is>
          <t>Day</t>
        </is>
      </c>
      <c r="B14" s="11" t="inlineStr">
        <is>
          <t>LH Control</t>
        </is>
      </c>
      <c r="C14" s="11" t="inlineStr">
        <is>
          <t>Guide Hand</t>
        </is>
      </c>
      <c r="D14" s="11" t="inlineStr">
        <is>
          <t>FT %</t>
        </is>
      </c>
      <c r="E14" s="11" t="inlineStr">
        <is>
          <t>Spot %</t>
        </is>
      </c>
      <c r="F14" s="11" t="inlineStr">
        <is>
          <t>Footwork</t>
        </is>
      </c>
      <c r="G14" s="11" t="inlineStr">
        <is>
          <t>Stop&amp;Pop</t>
        </is>
      </c>
      <c r="H14" s="2" t="n"/>
      <c r="I14" s="2" t="n"/>
      <c r="J14" s="2" t="n"/>
      <c r="K14" s="2" t="n"/>
      <c r="L14" s="2" t="n"/>
    </row>
    <row r="15">
      <c r="A15" s="12">
        <f>'Training Log'!A2</f>
        <v/>
      </c>
      <c r="B15" s="12">
        <f>IF('Training Log'!D2="",NA(),'Training Log'!D2)</f>
        <v/>
      </c>
      <c r="C15" s="12">
        <f>IF('Training Log'!G2="",NA(),'Training Log'!G2)</f>
        <v/>
      </c>
      <c r="D15" s="12">
        <f>IF('Training Log'!I2="",NA(),'Training Log'!I2)</f>
        <v/>
      </c>
      <c r="E15" s="12">
        <f>IF('Training Log'!K2="",NA(),'Training Log'!K2)</f>
        <v/>
      </c>
      <c r="F15" s="12">
        <f>IF('Training Log'!N2="",NA(),'Training Log'!N2)</f>
        <v/>
      </c>
      <c r="G15" s="12">
        <f>IF('Training Log'!O2="",NA(),'Training Log'!O2)</f>
        <v/>
      </c>
      <c r="H15" s="2" t="n"/>
      <c r="I15" s="2" t="n"/>
      <c r="J15" s="2" t="n"/>
      <c r="K15" s="2" t="n"/>
      <c r="L15" s="2" t="n"/>
    </row>
    <row r="16">
      <c r="A16" s="12">
        <f>'Training Log'!A3</f>
        <v/>
      </c>
      <c r="B16" s="12">
        <f>IF('Training Log'!D3="",NA(),'Training Log'!D3)</f>
        <v/>
      </c>
      <c r="C16" s="12">
        <f>IF('Training Log'!G3="",NA(),'Training Log'!G3)</f>
        <v/>
      </c>
      <c r="D16" s="12">
        <f>IF('Training Log'!I3="",NA(),'Training Log'!I3)</f>
        <v/>
      </c>
      <c r="E16" s="12">
        <f>IF('Training Log'!K3="",NA(),'Training Log'!K3)</f>
        <v/>
      </c>
      <c r="F16" s="12">
        <f>IF('Training Log'!N3="",NA(),'Training Log'!N3)</f>
        <v/>
      </c>
      <c r="G16" s="12">
        <f>IF('Training Log'!O3="",NA(),'Training Log'!O3)</f>
        <v/>
      </c>
      <c r="H16" s="2" t="n"/>
      <c r="I16" s="2" t="n"/>
      <c r="J16" s="2" t="n"/>
      <c r="K16" s="2" t="n"/>
      <c r="L16" s="2" t="n"/>
    </row>
    <row r="17">
      <c r="A17" s="12">
        <f>'Training Log'!A4</f>
        <v/>
      </c>
      <c r="B17" s="12">
        <f>IF('Training Log'!D4="",NA(),'Training Log'!D4)</f>
        <v/>
      </c>
      <c r="C17" s="12">
        <f>IF('Training Log'!G4="",NA(),'Training Log'!G4)</f>
        <v/>
      </c>
      <c r="D17" s="12">
        <f>IF('Training Log'!I4="",NA(),'Training Log'!I4)</f>
        <v/>
      </c>
      <c r="E17" s="12">
        <f>IF('Training Log'!K4="",NA(),'Training Log'!K4)</f>
        <v/>
      </c>
      <c r="F17" s="12">
        <f>IF('Training Log'!N4="",NA(),'Training Log'!N4)</f>
        <v/>
      </c>
      <c r="G17" s="12">
        <f>IF('Training Log'!O4="",NA(),'Training Log'!O4)</f>
        <v/>
      </c>
      <c r="H17" s="2" t="n"/>
      <c r="I17" s="2" t="n"/>
      <c r="J17" s="2" t="n"/>
      <c r="K17" s="2" t="n"/>
      <c r="L17" s="2" t="n"/>
    </row>
    <row r="18">
      <c r="A18" s="12">
        <f>'Training Log'!A5</f>
        <v/>
      </c>
      <c r="B18" s="12">
        <f>IF('Training Log'!D5="",NA(),'Training Log'!D5)</f>
        <v/>
      </c>
      <c r="C18" s="12">
        <f>IF('Training Log'!G5="",NA(),'Training Log'!G5)</f>
        <v/>
      </c>
      <c r="D18" s="12">
        <f>IF('Training Log'!I5="",NA(),'Training Log'!I5)</f>
        <v/>
      </c>
      <c r="E18" s="12">
        <f>IF('Training Log'!K5="",NA(),'Training Log'!K5)</f>
        <v/>
      </c>
      <c r="F18" s="12">
        <f>IF('Training Log'!N5="",NA(),'Training Log'!N5)</f>
        <v/>
      </c>
      <c r="G18" s="12">
        <f>IF('Training Log'!O5="",NA(),'Training Log'!O5)</f>
        <v/>
      </c>
      <c r="H18" s="2" t="n"/>
      <c r="I18" s="2" t="n"/>
      <c r="J18" s="2" t="n"/>
      <c r="K18" s="2" t="n"/>
      <c r="L18" s="2" t="n"/>
    </row>
    <row r="19">
      <c r="A19" s="12">
        <f>'Training Log'!A6</f>
        <v/>
      </c>
      <c r="B19" s="12">
        <f>IF('Training Log'!D6="",NA(),'Training Log'!D6)</f>
        <v/>
      </c>
      <c r="C19" s="12">
        <f>IF('Training Log'!G6="",NA(),'Training Log'!G6)</f>
        <v/>
      </c>
      <c r="D19" s="12">
        <f>IF('Training Log'!I6="",NA(),'Training Log'!I6)</f>
        <v/>
      </c>
      <c r="E19" s="12">
        <f>IF('Training Log'!K6="",NA(),'Training Log'!K6)</f>
        <v/>
      </c>
      <c r="F19" s="12">
        <f>IF('Training Log'!N6="",NA(),'Training Log'!N6)</f>
        <v/>
      </c>
      <c r="G19" s="12">
        <f>IF('Training Log'!O6="",NA(),'Training Log'!O6)</f>
        <v/>
      </c>
      <c r="H19" s="2" t="n"/>
      <c r="I19" s="2" t="n"/>
      <c r="J19" s="2" t="n"/>
      <c r="K19" s="2" t="n"/>
      <c r="L19" s="2" t="n"/>
    </row>
    <row r="20">
      <c r="A20" s="12">
        <f>'Training Log'!A7</f>
        <v/>
      </c>
      <c r="B20" s="12">
        <f>IF('Training Log'!D7="",NA(),'Training Log'!D7)</f>
        <v/>
      </c>
      <c r="C20" s="12">
        <f>IF('Training Log'!G7="",NA(),'Training Log'!G7)</f>
        <v/>
      </c>
      <c r="D20" s="12">
        <f>IF('Training Log'!I7="",NA(),'Training Log'!I7)</f>
        <v/>
      </c>
      <c r="E20" s="12">
        <f>IF('Training Log'!K7="",NA(),'Training Log'!K7)</f>
        <v/>
      </c>
      <c r="F20" s="12">
        <f>IF('Training Log'!N7="",NA(),'Training Log'!N7)</f>
        <v/>
      </c>
      <c r="G20" s="12">
        <f>IF('Training Log'!O7="",NA(),'Training Log'!O7)</f>
        <v/>
      </c>
      <c r="H20" s="2" t="n"/>
      <c r="I20" s="2" t="n"/>
      <c r="J20" s="2" t="n"/>
      <c r="K20" s="2" t="n"/>
      <c r="L20" s="2" t="n"/>
    </row>
    <row r="21">
      <c r="A21" s="12">
        <f>'Training Log'!A8</f>
        <v/>
      </c>
      <c r="B21" s="12">
        <f>IF('Training Log'!D8="",NA(),'Training Log'!D8)</f>
        <v/>
      </c>
      <c r="C21" s="12">
        <f>IF('Training Log'!G8="",NA(),'Training Log'!G8)</f>
        <v/>
      </c>
      <c r="D21" s="12">
        <f>IF('Training Log'!I8="",NA(),'Training Log'!I8)</f>
        <v/>
      </c>
      <c r="E21" s="12">
        <f>IF('Training Log'!K8="",NA(),'Training Log'!K8)</f>
        <v/>
      </c>
      <c r="F21" s="12">
        <f>IF('Training Log'!N8="",NA(),'Training Log'!N8)</f>
        <v/>
      </c>
      <c r="G21" s="12">
        <f>IF('Training Log'!O8="",NA(),'Training Log'!O8)</f>
        <v/>
      </c>
      <c r="H21" s="2" t="n"/>
      <c r="I21" s="2" t="n"/>
      <c r="J21" s="2" t="n"/>
      <c r="K21" s="2" t="n"/>
      <c r="L21" s="2" t="n"/>
    </row>
    <row r="22">
      <c r="A22" s="12">
        <f>'Training Log'!A9</f>
        <v/>
      </c>
      <c r="B22" s="12">
        <f>IF('Training Log'!D9="",NA(),'Training Log'!D9)</f>
        <v/>
      </c>
      <c r="C22" s="12">
        <f>IF('Training Log'!G9="",NA(),'Training Log'!G9)</f>
        <v/>
      </c>
      <c r="D22" s="12">
        <f>IF('Training Log'!I9="",NA(),'Training Log'!I9)</f>
        <v/>
      </c>
      <c r="E22" s="12">
        <f>IF('Training Log'!K9="",NA(),'Training Log'!K9)</f>
        <v/>
      </c>
      <c r="F22" s="12">
        <f>IF('Training Log'!N9="",NA(),'Training Log'!N9)</f>
        <v/>
      </c>
      <c r="G22" s="12">
        <f>IF('Training Log'!O9="",NA(),'Training Log'!O9)</f>
        <v/>
      </c>
      <c r="H22" s="2" t="n"/>
      <c r="I22" s="2" t="n"/>
      <c r="J22" s="2" t="n"/>
      <c r="K22" s="2" t="n"/>
      <c r="L22" s="2" t="n"/>
    </row>
    <row r="23">
      <c r="A23" s="12">
        <f>'Training Log'!A10</f>
        <v/>
      </c>
      <c r="B23" s="12">
        <f>IF('Training Log'!D10="",NA(),'Training Log'!D10)</f>
        <v/>
      </c>
      <c r="C23" s="12">
        <f>IF('Training Log'!G10="",NA(),'Training Log'!G10)</f>
        <v/>
      </c>
      <c r="D23" s="12">
        <f>IF('Training Log'!I10="",NA(),'Training Log'!I10)</f>
        <v/>
      </c>
      <c r="E23" s="12">
        <f>IF('Training Log'!K10="",NA(),'Training Log'!K10)</f>
        <v/>
      </c>
      <c r="F23" s="12">
        <f>IF('Training Log'!N10="",NA(),'Training Log'!N10)</f>
        <v/>
      </c>
      <c r="G23" s="12">
        <f>IF('Training Log'!O10="",NA(),'Training Log'!O10)</f>
        <v/>
      </c>
      <c r="H23" s="2" t="n"/>
      <c r="I23" s="2" t="n"/>
      <c r="J23" s="2" t="n"/>
      <c r="K23" s="2" t="n"/>
      <c r="L23" s="2" t="n"/>
    </row>
    <row r="24">
      <c r="A24" s="12">
        <f>'Training Log'!A11</f>
        <v/>
      </c>
      <c r="B24" s="12">
        <f>IF('Training Log'!D11="",NA(),'Training Log'!D11)</f>
        <v/>
      </c>
      <c r="C24" s="12">
        <f>IF('Training Log'!G11="",NA(),'Training Log'!G11)</f>
        <v/>
      </c>
      <c r="D24" s="12">
        <f>IF('Training Log'!I11="",NA(),'Training Log'!I11)</f>
        <v/>
      </c>
      <c r="E24" s="12">
        <f>IF('Training Log'!K11="",NA(),'Training Log'!K11)</f>
        <v/>
      </c>
      <c r="F24" s="12">
        <f>IF('Training Log'!N11="",NA(),'Training Log'!N11)</f>
        <v/>
      </c>
      <c r="G24" s="12">
        <f>IF('Training Log'!O11="",NA(),'Training Log'!O11)</f>
        <v/>
      </c>
      <c r="H24" s="2" t="n"/>
      <c r="I24" s="2" t="n"/>
      <c r="J24" s="2" t="n"/>
      <c r="K24" s="2" t="n"/>
      <c r="L24" s="2" t="n"/>
    </row>
    <row r="25">
      <c r="A25" s="12">
        <f>'Training Log'!A12</f>
        <v/>
      </c>
      <c r="B25" s="12">
        <f>IF('Training Log'!D12="",NA(),'Training Log'!D12)</f>
        <v/>
      </c>
      <c r="C25" s="12">
        <f>IF('Training Log'!G12="",NA(),'Training Log'!G12)</f>
        <v/>
      </c>
      <c r="D25" s="12">
        <f>IF('Training Log'!I12="",NA(),'Training Log'!I12)</f>
        <v/>
      </c>
      <c r="E25" s="12">
        <f>IF('Training Log'!K12="",NA(),'Training Log'!K12)</f>
        <v/>
      </c>
      <c r="F25" s="12">
        <f>IF('Training Log'!N12="",NA(),'Training Log'!N12)</f>
        <v/>
      </c>
      <c r="G25" s="12">
        <f>IF('Training Log'!O12="",NA(),'Training Log'!O12)</f>
        <v/>
      </c>
      <c r="H25" s="2" t="n"/>
      <c r="I25" s="2" t="n"/>
      <c r="J25" s="2" t="n"/>
      <c r="K25" s="2" t="n"/>
      <c r="L25" s="2" t="n"/>
    </row>
    <row r="26">
      <c r="A26" s="12">
        <f>'Training Log'!A13</f>
        <v/>
      </c>
      <c r="B26" s="12">
        <f>IF('Training Log'!D13="",NA(),'Training Log'!D13)</f>
        <v/>
      </c>
      <c r="C26" s="12">
        <f>IF('Training Log'!G13="",NA(),'Training Log'!G13)</f>
        <v/>
      </c>
      <c r="D26" s="12">
        <f>IF('Training Log'!I13="",NA(),'Training Log'!I13)</f>
        <v/>
      </c>
      <c r="E26" s="12">
        <f>IF('Training Log'!K13="",NA(),'Training Log'!K13)</f>
        <v/>
      </c>
      <c r="F26" s="12">
        <f>IF('Training Log'!N13="",NA(),'Training Log'!N13)</f>
        <v/>
      </c>
      <c r="G26" s="12">
        <f>IF('Training Log'!O13="",NA(),'Training Log'!O13)</f>
        <v/>
      </c>
      <c r="H26" s="2" t="n"/>
      <c r="I26" s="2" t="n"/>
      <c r="J26" s="2" t="n"/>
      <c r="K26" s="2" t="n"/>
      <c r="L26" s="2" t="n"/>
    </row>
    <row r="27">
      <c r="A27" s="12">
        <f>'Training Log'!A14</f>
        <v/>
      </c>
      <c r="B27" s="12">
        <f>IF('Training Log'!D14="",NA(),'Training Log'!D14)</f>
        <v/>
      </c>
      <c r="C27" s="12">
        <f>IF('Training Log'!G14="",NA(),'Training Log'!G14)</f>
        <v/>
      </c>
      <c r="D27" s="12">
        <f>IF('Training Log'!I14="",NA(),'Training Log'!I14)</f>
        <v/>
      </c>
      <c r="E27" s="12">
        <f>IF('Training Log'!K14="",NA(),'Training Log'!K14)</f>
        <v/>
      </c>
      <c r="F27" s="12">
        <f>IF('Training Log'!N14="",NA(),'Training Log'!N14)</f>
        <v/>
      </c>
      <c r="G27" s="12">
        <f>IF('Training Log'!O14="",NA(),'Training Log'!O14)</f>
        <v/>
      </c>
      <c r="H27" s="2" t="n"/>
      <c r="I27" s="2" t="n"/>
      <c r="J27" s="2" t="n"/>
      <c r="K27" s="2" t="n"/>
      <c r="L27" s="2" t="n"/>
    </row>
    <row r="28">
      <c r="A28" s="12">
        <f>'Training Log'!A15</f>
        <v/>
      </c>
      <c r="B28" s="12">
        <f>IF('Training Log'!D15="",NA(),'Training Log'!D15)</f>
        <v/>
      </c>
      <c r="C28" s="12">
        <f>IF('Training Log'!G15="",NA(),'Training Log'!G15)</f>
        <v/>
      </c>
      <c r="D28" s="12">
        <f>IF('Training Log'!I15="",NA(),'Training Log'!I15)</f>
        <v/>
      </c>
      <c r="E28" s="12">
        <f>IF('Training Log'!K15="",NA(),'Training Log'!K15)</f>
        <v/>
      </c>
      <c r="F28" s="12">
        <f>IF('Training Log'!N15="",NA(),'Training Log'!N15)</f>
        <v/>
      </c>
      <c r="G28" s="12">
        <f>IF('Training Log'!O15="",NA(),'Training Log'!O15)</f>
        <v/>
      </c>
      <c r="H28" s="2" t="n"/>
      <c r="I28" s="2" t="n"/>
      <c r="J28" s="2" t="n"/>
      <c r="K28" s="2" t="n"/>
      <c r="L28" s="2" t="n"/>
    </row>
  </sheetData>
  <mergeCells count="4">
    <mergeCell ref="A13:F13"/>
    <mergeCell ref="A2:L2"/>
    <mergeCell ref="A1:L1"/>
    <mergeCell ref="A12:F1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6" customWidth="1" min="3" max="3"/>
    <col width="16" customWidth="1" min="4" max="4"/>
    <col width="16" customWidth="1" min="5" max="5"/>
    <col width="18" customWidth="1" min="6" max="6"/>
    <col width="16" customWidth="1" min="7" max="7"/>
    <col width="12" customWidth="1" min="8" max="8"/>
    <col width="10" customWidth="1" min="9" max="9"/>
    <col width="14" customWidth="1" min="10" max="10"/>
    <col width="10" customWidth="1" min="11" max="11"/>
    <col width="14" customWidth="1" min="12" max="12"/>
    <col width="10" customWidth="1" min="13" max="13"/>
    <col width="16" customWidth="1" min="14" max="14"/>
    <col width="20" customWidth="1" min="15" max="15"/>
    <col width="18" customWidth="1" min="16" max="16"/>
    <col width="35" customWidth="1" min="17" max="17"/>
  </cols>
  <sheetData>
    <row r="1" ht="38" customHeight="1">
      <c r="A1" s="13" t="inlineStr">
        <is>
          <t>Day</t>
        </is>
      </c>
      <c r="B1" s="13" t="inlineStr">
        <is>
          <t>Date</t>
        </is>
      </c>
      <c r="C1" s="13" t="inlineStr">
        <is>
          <t>Session Complete?</t>
        </is>
      </c>
      <c r="D1" s="13" t="inlineStr">
        <is>
          <t>LH Control (1-10)</t>
        </is>
      </c>
      <c r="E1" s="13" t="inlineStr">
        <is>
          <t>RH Control (1-10)</t>
        </is>
      </c>
      <c r="F1" s="13" t="inlineStr">
        <is>
          <t>1-Hand Form (1-10)</t>
        </is>
      </c>
      <c r="G1" s="13" t="inlineStr">
        <is>
          <t>Guide Hand (1-10)</t>
        </is>
      </c>
      <c r="H1" s="13" t="inlineStr">
        <is>
          <t>FT Made / 50</t>
        </is>
      </c>
      <c r="I1" s="13" t="inlineStr">
        <is>
          <t>FT %</t>
        </is>
      </c>
      <c r="J1" s="13" t="inlineStr">
        <is>
          <t>Spot Makes / 50</t>
        </is>
      </c>
      <c r="K1" s="13" t="inlineStr">
        <is>
          <t>Spot %</t>
        </is>
      </c>
      <c r="L1" s="13" t="inlineStr">
        <is>
          <t>5-8 ft Makes / 25</t>
        </is>
      </c>
      <c r="M1" s="13" t="inlineStr">
        <is>
          <t>5-8 ft %</t>
        </is>
      </c>
      <c r="N1" s="13" t="inlineStr">
        <is>
          <t>Footwork (1-10)</t>
        </is>
      </c>
      <c r="O1" s="13" t="inlineStr">
        <is>
          <t>Stop &amp; Pop Speed (1-10)</t>
        </is>
      </c>
      <c r="P1" s="13" t="inlineStr">
        <is>
          <t>Big Player Skill (1-10)</t>
        </is>
      </c>
      <c r="Q1" s="13" t="inlineStr">
        <is>
          <t>Coach Notes</t>
        </is>
      </c>
    </row>
    <row r="2">
      <c r="A2" s="14" t="n">
        <v>1</v>
      </c>
      <c r="B2" s="15" t="n"/>
      <c r="C2" s="15" t="n"/>
      <c r="D2" s="16" t="n"/>
      <c r="E2" s="16" t="n"/>
      <c r="F2" s="16" t="n"/>
      <c r="G2" s="16" t="n"/>
      <c r="H2" s="15" t="n"/>
      <c r="I2" s="17">
        <f>IF(H2="","",H2/50)</f>
        <v/>
      </c>
      <c r="J2" s="15" t="n"/>
      <c r="K2" s="17">
        <f>IF(J2="","",J2/50)</f>
        <v/>
      </c>
      <c r="L2" s="15" t="n"/>
      <c r="M2" s="17">
        <f>IF(L2="","",L2/25)</f>
        <v/>
      </c>
      <c r="N2" s="16" t="n"/>
      <c r="O2" s="16" t="n"/>
      <c r="P2" s="16" t="n"/>
      <c r="Q2" s="15" t="n"/>
    </row>
    <row r="3">
      <c r="A3" s="14" t="n">
        <v>2</v>
      </c>
      <c r="B3" s="15" t="n"/>
      <c r="C3" s="15" t="n"/>
      <c r="D3" s="16" t="n"/>
      <c r="E3" s="16" t="n"/>
      <c r="F3" s="16" t="n"/>
      <c r="G3" s="16" t="n"/>
      <c r="H3" s="15" t="n"/>
      <c r="I3" s="17">
        <f>IF(H3="","",H3/50)</f>
        <v/>
      </c>
      <c r="J3" s="15" t="n"/>
      <c r="K3" s="17">
        <f>IF(J3="","",J3/50)</f>
        <v/>
      </c>
      <c r="L3" s="15" t="n"/>
      <c r="M3" s="17">
        <f>IF(L3="","",L3/25)</f>
        <v/>
      </c>
      <c r="N3" s="16" t="n"/>
      <c r="O3" s="16" t="n"/>
      <c r="P3" s="16" t="n"/>
      <c r="Q3" s="15" t="n"/>
    </row>
    <row r="4">
      <c r="A4" s="14" t="n">
        <v>3</v>
      </c>
      <c r="B4" s="15" t="n"/>
      <c r="C4" s="15" t="n"/>
      <c r="D4" s="16" t="n"/>
      <c r="E4" s="16" t="n"/>
      <c r="F4" s="16" t="n"/>
      <c r="G4" s="16" t="n"/>
      <c r="H4" s="15" t="n"/>
      <c r="I4" s="17">
        <f>IF(H4="","",H4/50)</f>
        <v/>
      </c>
      <c r="J4" s="15" t="n"/>
      <c r="K4" s="17">
        <f>IF(J4="","",J4/50)</f>
        <v/>
      </c>
      <c r="L4" s="15" t="n"/>
      <c r="M4" s="17">
        <f>IF(L4="","",L4/25)</f>
        <v/>
      </c>
      <c r="N4" s="16" t="n"/>
      <c r="O4" s="16" t="n"/>
      <c r="P4" s="16" t="n"/>
      <c r="Q4" s="15" t="n"/>
    </row>
    <row r="5">
      <c r="A5" s="14" t="n">
        <v>4</v>
      </c>
      <c r="B5" s="15" t="n"/>
      <c r="C5" s="15" t="n"/>
      <c r="D5" s="16" t="n"/>
      <c r="E5" s="16" t="n"/>
      <c r="F5" s="16" t="n"/>
      <c r="G5" s="16" t="n"/>
      <c r="H5" s="15" t="n"/>
      <c r="I5" s="17">
        <f>IF(H5="","",H5/50)</f>
        <v/>
      </c>
      <c r="J5" s="15" t="n"/>
      <c r="K5" s="17">
        <f>IF(J5="","",J5/50)</f>
        <v/>
      </c>
      <c r="L5" s="15" t="n"/>
      <c r="M5" s="17">
        <f>IF(L5="","",L5/25)</f>
        <v/>
      </c>
      <c r="N5" s="16" t="n"/>
      <c r="O5" s="16" t="n"/>
      <c r="P5" s="16" t="n"/>
      <c r="Q5" s="15" t="n"/>
    </row>
    <row r="6">
      <c r="A6" s="14" t="n">
        <v>5</v>
      </c>
      <c r="B6" s="15" t="n"/>
      <c r="C6" s="15" t="n"/>
      <c r="D6" s="16" t="n"/>
      <c r="E6" s="16" t="n"/>
      <c r="F6" s="16" t="n"/>
      <c r="G6" s="16" t="n"/>
      <c r="H6" s="15" t="n"/>
      <c r="I6" s="17">
        <f>IF(H6="","",H6/50)</f>
        <v/>
      </c>
      <c r="J6" s="15" t="n"/>
      <c r="K6" s="17">
        <f>IF(J6="","",J6/50)</f>
        <v/>
      </c>
      <c r="L6" s="15" t="n"/>
      <c r="M6" s="17">
        <f>IF(L6="","",L6/25)</f>
        <v/>
      </c>
      <c r="N6" s="16" t="n"/>
      <c r="O6" s="16" t="n"/>
      <c r="P6" s="16" t="n"/>
      <c r="Q6" s="15" t="n"/>
    </row>
    <row r="7">
      <c r="A7" s="14" t="n">
        <v>6</v>
      </c>
      <c r="B7" s="15" t="n"/>
      <c r="C7" s="15" t="n"/>
      <c r="D7" s="16" t="n"/>
      <c r="E7" s="16" t="n"/>
      <c r="F7" s="16" t="n"/>
      <c r="G7" s="16" t="n"/>
      <c r="H7" s="15" t="n"/>
      <c r="I7" s="17">
        <f>IF(H7="","",H7/50)</f>
        <v/>
      </c>
      <c r="J7" s="15" t="n"/>
      <c r="K7" s="17">
        <f>IF(J7="","",J7/50)</f>
        <v/>
      </c>
      <c r="L7" s="15" t="n"/>
      <c r="M7" s="17">
        <f>IF(L7="","",L7/25)</f>
        <v/>
      </c>
      <c r="N7" s="16" t="n"/>
      <c r="O7" s="16" t="n"/>
      <c r="P7" s="16" t="n"/>
      <c r="Q7" s="15" t="n"/>
    </row>
    <row r="8">
      <c r="A8" s="14" t="n">
        <v>7</v>
      </c>
      <c r="B8" s="15" t="n"/>
      <c r="C8" s="15" t="n"/>
      <c r="D8" s="16" t="n"/>
      <c r="E8" s="16" t="n"/>
      <c r="F8" s="16" t="n"/>
      <c r="G8" s="16" t="n"/>
      <c r="H8" s="15" t="n"/>
      <c r="I8" s="17">
        <f>IF(H8="","",H8/50)</f>
        <v/>
      </c>
      <c r="J8" s="15" t="n"/>
      <c r="K8" s="17">
        <f>IF(J8="","",J8/50)</f>
        <v/>
      </c>
      <c r="L8" s="15" t="n"/>
      <c r="M8" s="17">
        <f>IF(L8="","",L8/25)</f>
        <v/>
      </c>
      <c r="N8" s="16" t="n"/>
      <c r="O8" s="16" t="n"/>
      <c r="P8" s="16" t="n"/>
      <c r="Q8" s="15" t="n"/>
    </row>
    <row r="9">
      <c r="A9" s="14" t="n">
        <v>8</v>
      </c>
      <c r="B9" s="15" t="n"/>
      <c r="C9" s="15" t="n"/>
      <c r="D9" s="16" t="n"/>
      <c r="E9" s="16" t="n"/>
      <c r="F9" s="16" t="n"/>
      <c r="G9" s="16" t="n"/>
      <c r="H9" s="15" t="n"/>
      <c r="I9" s="17">
        <f>IF(H9="","",H9/50)</f>
        <v/>
      </c>
      <c r="J9" s="15" t="n"/>
      <c r="K9" s="17">
        <f>IF(J9="","",J9/50)</f>
        <v/>
      </c>
      <c r="L9" s="15" t="n"/>
      <c r="M9" s="17">
        <f>IF(L9="","",L9/25)</f>
        <v/>
      </c>
      <c r="N9" s="16" t="n"/>
      <c r="O9" s="16" t="n"/>
      <c r="P9" s="16" t="n"/>
      <c r="Q9" s="15" t="n"/>
    </row>
    <row r="10">
      <c r="A10" s="14" t="n">
        <v>9</v>
      </c>
      <c r="B10" s="15" t="n"/>
      <c r="C10" s="15" t="n"/>
      <c r="D10" s="16" t="n"/>
      <c r="E10" s="16" t="n"/>
      <c r="F10" s="16" t="n"/>
      <c r="G10" s="16" t="n"/>
      <c r="H10" s="15" t="n"/>
      <c r="I10" s="17">
        <f>IF(H10="","",H10/50)</f>
        <v/>
      </c>
      <c r="J10" s="15" t="n"/>
      <c r="K10" s="17">
        <f>IF(J10="","",J10/50)</f>
        <v/>
      </c>
      <c r="L10" s="15" t="n"/>
      <c r="M10" s="17">
        <f>IF(L10="","",L10/25)</f>
        <v/>
      </c>
      <c r="N10" s="16" t="n"/>
      <c r="O10" s="16" t="n"/>
      <c r="P10" s="16" t="n"/>
      <c r="Q10" s="15" t="n"/>
    </row>
    <row r="11">
      <c r="A11" s="14" t="n">
        <v>10</v>
      </c>
      <c r="B11" s="15" t="n"/>
      <c r="C11" s="15" t="n"/>
      <c r="D11" s="16" t="n"/>
      <c r="E11" s="16" t="n"/>
      <c r="F11" s="16" t="n"/>
      <c r="G11" s="16" t="n"/>
      <c r="H11" s="15" t="n"/>
      <c r="I11" s="17">
        <f>IF(H11="","",H11/50)</f>
        <v/>
      </c>
      <c r="J11" s="15" t="n"/>
      <c r="K11" s="17">
        <f>IF(J11="","",J11/50)</f>
        <v/>
      </c>
      <c r="L11" s="15" t="n"/>
      <c r="M11" s="17">
        <f>IF(L11="","",L11/25)</f>
        <v/>
      </c>
      <c r="N11" s="16" t="n"/>
      <c r="O11" s="16" t="n"/>
      <c r="P11" s="16" t="n"/>
      <c r="Q11" s="15" t="n"/>
    </row>
    <row r="12">
      <c r="A12" s="14" t="n">
        <v>11</v>
      </c>
      <c r="B12" s="15" t="n"/>
      <c r="C12" s="15" t="n"/>
      <c r="D12" s="16" t="n"/>
      <c r="E12" s="16" t="n"/>
      <c r="F12" s="16" t="n"/>
      <c r="G12" s="16" t="n"/>
      <c r="H12" s="15" t="n"/>
      <c r="I12" s="17">
        <f>IF(H12="","",H12/50)</f>
        <v/>
      </c>
      <c r="J12" s="15" t="n"/>
      <c r="K12" s="17">
        <f>IF(J12="","",J12/50)</f>
        <v/>
      </c>
      <c r="L12" s="15" t="n"/>
      <c r="M12" s="17">
        <f>IF(L12="","",L12/25)</f>
        <v/>
      </c>
      <c r="N12" s="16" t="n"/>
      <c r="O12" s="16" t="n"/>
      <c r="P12" s="16" t="n"/>
      <c r="Q12" s="15" t="n"/>
    </row>
    <row r="13">
      <c r="A13" s="14" t="n">
        <v>12</v>
      </c>
      <c r="B13" s="15" t="n"/>
      <c r="C13" s="15" t="n"/>
      <c r="D13" s="16" t="n"/>
      <c r="E13" s="16" t="n"/>
      <c r="F13" s="16" t="n"/>
      <c r="G13" s="16" t="n"/>
      <c r="H13" s="15" t="n"/>
      <c r="I13" s="17">
        <f>IF(H13="","",H13/50)</f>
        <v/>
      </c>
      <c r="J13" s="15" t="n"/>
      <c r="K13" s="17">
        <f>IF(J13="","",J13/50)</f>
        <v/>
      </c>
      <c r="L13" s="15" t="n"/>
      <c r="M13" s="17">
        <f>IF(L13="","",L13/25)</f>
        <v/>
      </c>
      <c r="N13" s="16" t="n"/>
      <c r="O13" s="16" t="n"/>
      <c r="P13" s="16" t="n"/>
      <c r="Q13" s="15" t="n"/>
    </row>
    <row r="14">
      <c r="A14" s="14" t="n">
        <v>13</v>
      </c>
      <c r="B14" s="15" t="n"/>
      <c r="C14" s="15" t="n"/>
      <c r="D14" s="16" t="n"/>
      <c r="E14" s="16" t="n"/>
      <c r="F14" s="16" t="n"/>
      <c r="G14" s="16" t="n"/>
      <c r="H14" s="15" t="n"/>
      <c r="I14" s="17">
        <f>IF(H14="","",H14/50)</f>
        <v/>
      </c>
      <c r="J14" s="15" t="n"/>
      <c r="K14" s="17">
        <f>IF(J14="","",J14/50)</f>
        <v/>
      </c>
      <c r="L14" s="15" t="n"/>
      <c r="M14" s="17">
        <f>IF(L14="","",L14/25)</f>
        <v/>
      </c>
      <c r="N14" s="16" t="n"/>
      <c r="O14" s="16" t="n"/>
      <c r="P14" s="16" t="n"/>
      <c r="Q14" s="15" t="n"/>
    </row>
    <row r="15">
      <c r="A15" s="14" t="n">
        <v>14</v>
      </c>
      <c r="B15" s="15" t="n"/>
      <c r="C15" s="15" t="n"/>
      <c r="D15" s="16" t="n"/>
      <c r="E15" s="16" t="n"/>
      <c r="F15" s="16" t="n"/>
      <c r="G15" s="16" t="n"/>
      <c r="H15" s="15" t="n"/>
      <c r="I15" s="17">
        <f>IF(H15="","",H15/50)</f>
        <v/>
      </c>
      <c r="J15" s="15" t="n"/>
      <c r="K15" s="17">
        <f>IF(J15="","",J15/50)</f>
        <v/>
      </c>
      <c r="L15" s="15" t="n"/>
      <c r="M15" s="17">
        <f>IF(L15="","",L15/25)</f>
        <v/>
      </c>
      <c r="N15" s="16" t="n"/>
      <c r="O15" s="16" t="n"/>
      <c r="P15" s="16" t="n"/>
      <c r="Q15" s="15" t="n"/>
    </row>
    <row r="16">
      <c r="A16" s="2" t="n"/>
      <c r="B16" s="2" t="n"/>
      <c r="C16" s="2" t="n"/>
      <c r="D16" s="18" t="n"/>
      <c r="E16" s="18" t="n"/>
      <c r="F16" s="18" t="n"/>
      <c r="G16" s="18" t="n"/>
      <c r="H16" s="2" t="n"/>
      <c r="I16" s="19" t="n"/>
      <c r="J16" s="2" t="n"/>
      <c r="K16" s="19" t="n"/>
      <c r="L16" s="2" t="n"/>
      <c r="M16" s="19" t="n"/>
      <c r="N16" s="18" t="n"/>
      <c r="O16" s="18" t="n"/>
      <c r="P16" s="18" t="n"/>
      <c r="Q16" s="2" t="n"/>
    </row>
    <row r="17">
      <c r="A17" s="2" t="n"/>
      <c r="B17" s="2" t="n"/>
      <c r="C17" s="2" t="n"/>
      <c r="D17" s="18" t="n"/>
      <c r="E17" s="18" t="n"/>
      <c r="F17" s="18" t="n"/>
      <c r="G17" s="18" t="n"/>
      <c r="H17" s="2" t="n"/>
      <c r="I17" s="19" t="n"/>
      <c r="J17" s="2" t="n"/>
      <c r="K17" s="19" t="n"/>
      <c r="L17" s="2" t="n"/>
      <c r="M17" s="19" t="n"/>
      <c r="N17" s="18" t="n"/>
      <c r="O17" s="18" t="n"/>
      <c r="P17" s="18" t="n"/>
      <c r="Q17" s="2" t="n"/>
    </row>
    <row r="18">
      <c r="A18" s="20" t="inlineStr">
        <is>
          <t>Baseline</t>
        </is>
      </c>
      <c r="B18" s="2" t="n"/>
      <c r="C18" s="2" t="n"/>
      <c r="D18" s="18" t="n">
        <v>2</v>
      </c>
      <c r="E18" s="18" t="n">
        <v>7</v>
      </c>
      <c r="F18" s="18" t="n">
        <v>4</v>
      </c>
      <c r="G18" s="18" t="n">
        <v>3</v>
      </c>
      <c r="H18" s="2" t="n"/>
      <c r="I18" s="19" t="n">
        <v>0.3</v>
      </c>
      <c r="J18" s="2" t="n"/>
      <c r="K18" s="19" t="n">
        <v>0.3</v>
      </c>
      <c r="L18" s="2" t="n"/>
      <c r="M18" s="19" t="n">
        <v>0.4</v>
      </c>
      <c r="N18" s="18" t="inlineStr"/>
      <c r="O18" s="18" t="n">
        <v>2</v>
      </c>
      <c r="P18" s="18" t="inlineStr"/>
      <c r="Q18" s="2" t="n"/>
    </row>
    <row r="19">
      <c r="A19" s="21" t="inlineStr">
        <is>
          <t>2-Week Target</t>
        </is>
      </c>
      <c r="B19" s="2" t="n"/>
      <c r="C19" s="2" t="n"/>
      <c r="D19" s="18" t="n">
        <v>5</v>
      </c>
      <c r="E19" s="18" t="inlineStr"/>
      <c r="F19" s="18" t="n">
        <v>6</v>
      </c>
      <c r="G19" s="18" t="n">
        <v>6</v>
      </c>
      <c r="H19" s="2" t="n"/>
      <c r="I19" s="19" t="n">
        <v>0.5</v>
      </c>
      <c r="J19" s="2" t="n"/>
      <c r="K19" s="19" t="n">
        <v>0.425</v>
      </c>
      <c r="L19" s="2" t="n"/>
      <c r="M19" s="19" t="inlineStr"/>
      <c r="N19" s="18" t="n">
        <v>6</v>
      </c>
      <c r="O19" s="18" t="n">
        <v>5</v>
      </c>
      <c r="P19" s="18" t="n">
        <v>6</v>
      </c>
      <c r="Q19" s="2" t="n"/>
    </row>
    <row r="20">
      <c r="A20" s="20" t="inlineStr">
        <is>
          <t>Latest Actual</t>
        </is>
      </c>
      <c r="B20" s="2" t="n"/>
      <c r="C20" s="2" t="n"/>
      <c r="D20" s="18">
        <f>LOOKUP(2,1/(D$2:D$15&lt;&gt;""),D$2:D$15)</f>
        <v/>
      </c>
      <c r="E20" s="18">
        <f>LOOKUP(2,1/(E$2:E$15&lt;&gt;""),E$2:E$15)</f>
        <v/>
      </c>
      <c r="F20" s="18">
        <f>LOOKUP(2,1/(F$2:F$15&lt;&gt;""),F$2:F$15)</f>
        <v/>
      </c>
      <c r="G20" s="18">
        <f>LOOKUP(2,1/(G$2:G$15&lt;&gt;""),G$2:G$15)</f>
        <v/>
      </c>
      <c r="H20" s="2" t="n"/>
      <c r="I20" s="19">
        <f>LOOKUP(2,1/(I$2:I$15&lt;&gt;""),I$2:I$15)</f>
        <v/>
      </c>
      <c r="J20" s="2" t="n"/>
      <c r="K20" s="19">
        <f>LOOKUP(2,1/(K$2:K$15&lt;&gt;""),K$2:K$15)</f>
        <v/>
      </c>
      <c r="L20" s="2" t="n"/>
      <c r="M20" s="19">
        <f>LOOKUP(2,1/(M$2:M$15&lt;&gt;""),M$2:M$15)</f>
        <v/>
      </c>
      <c r="N20" s="18">
        <f>LOOKUP(2,1/(N$2:N$15&lt;&gt;""),N$2:N$15)</f>
        <v/>
      </c>
      <c r="O20" s="18">
        <f>LOOKUP(2,1/(O$2:O$15&lt;&gt;""),O$2:O$15)</f>
        <v/>
      </c>
      <c r="P20" s="18">
        <f>LOOKUP(2,1/(P$2:P$15&lt;&gt;""),P$2:P$15)</f>
        <v/>
      </c>
      <c r="Q20" s="2" t="n"/>
    </row>
    <row r="21">
      <c r="A21" s="20" t="inlineStr">
        <is>
          <t>14-Day Average</t>
        </is>
      </c>
      <c r="B21" s="2" t="n"/>
      <c r="C21" s="2" t="n"/>
      <c r="D21" s="18">
        <f>IFERROR(AVERAGE(D$2:D$15),"")</f>
        <v/>
      </c>
      <c r="E21" s="18">
        <f>IFERROR(AVERAGE(E$2:E$15),"")</f>
        <v/>
      </c>
      <c r="F21" s="18">
        <f>IFERROR(AVERAGE(F$2:F$15),"")</f>
        <v/>
      </c>
      <c r="G21" s="18">
        <f>IFERROR(AVERAGE(G$2:G$15),"")</f>
        <v/>
      </c>
      <c r="H21" s="2" t="n"/>
      <c r="I21" s="19">
        <f>IFERROR(AVERAGE(I$2:I$15),"")</f>
        <v/>
      </c>
      <c r="J21" s="2" t="n"/>
      <c r="K21" s="19">
        <f>IFERROR(AVERAGE(K$2:K$15),"")</f>
        <v/>
      </c>
      <c r="L21" s="2" t="n"/>
      <c r="M21" s="19">
        <f>IFERROR(AVERAGE(M$2:M$15),"")</f>
        <v/>
      </c>
      <c r="N21" s="18">
        <f>IFERROR(AVERAGE(N$2:N$15),"")</f>
        <v/>
      </c>
      <c r="O21" s="18">
        <f>IFERROR(AVERAGE(O$2:O$15),"")</f>
        <v/>
      </c>
      <c r="P21" s="18">
        <f>IFERROR(AVERAGE(P$2:P$15),"")</f>
        <v/>
      </c>
      <c r="Q21" s="2" t="n"/>
    </row>
  </sheetData>
  <conditionalFormatting sqref="D2:G15">
    <cfRule type="cellIs" priority="1" operator="lessThan" dxfId="0">
      <formula>4</formula>
    </cfRule>
    <cfRule type="cellIs" priority="2" operator="between" dxfId="1">
      <formula>4</formula>
      <formula>6.9</formula>
    </cfRule>
    <cfRule type="cellIs" priority="3" operator="greaterThanOrEqual" dxfId="2">
      <formula>7</formula>
    </cfRule>
  </conditionalFormatting>
  <conditionalFormatting sqref="N2:P15">
    <cfRule type="cellIs" priority="4" operator="lessThan" dxfId="0">
      <formula>4</formula>
    </cfRule>
    <cfRule type="cellIs" priority="5" operator="between" dxfId="1">
      <formula>4</formula>
      <formula>6.9</formula>
    </cfRule>
    <cfRule type="cellIs" priority="6" operator="greaterThanOrEqual" dxfId="2">
      <formula>7</formula>
    </cfRule>
  </conditionalFormatting>
  <conditionalFormatting sqref="I2:I15">
    <cfRule type="cellIs" priority="7" operator="lessThan" dxfId="0">
      <formula>0.35</formula>
    </cfRule>
    <cfRule type="cellIs" priority="8" operator="between" dxfId="1">
      <formula>0.35</formula>
      <formula>0.499</formula>
    </cfRule>
    <cfRule type="cellIs" priority="9" operator="greaterThanOrEqual" dxfId="2">
      <formula>0.5</formula>
    </cfRule>
  </conditionalFormatting>
  <conditionalFormatting sqref="K2:K15">
    <cfRule type="cellIs" priority="10" operator="lessThan" dxfId="0">
      <formula>0.35</formula>
    </cfRule>
    <cfRule type="cellIs" priority="11" operator="between" dxfId="1">
      <formula>0.35</formula>
      <formula>0.499</formula>
    </cfRule>
    <cfRule type="cellIs" priority="12" operator="greaterThanOrEqual" dxfId="2">
      <formula>0.5</formula>
    </cfRule>
  </conditionalFormatting>
  <conditionalFormatting sqref="M2:M15">
    <cfRule type="cellIs" priority="13" operator="lessThan" dxfId="0">
      <formula>0.35</formula>
    </cfRule>
    <cfRule type="cellIs" priority="14" operator="between" dxfId="1">
      <formula>0.35</formula>
      <formula>0.499</formula>
    </cfRule>
    <cfRule type="cellIs" priority="15" operator="greaterThanOrEqual" dxfId="2">
      <formula>0.5</formula>
    </cfRule>
  </conditionalFormatting>
  <dataValidations count="4">
    <dataValidation sqref="B2:J15 C2:C15" showDropDown="0" showInputMessage="0" showErrorMessage="0" allowBlank="1" type="list">
      <formula1>"Yes,No"</formula1>
    </dataValidation>
    <dataValidation sqref="D2:G15 N2:P15" showDropDown="0" showInputMessage="0" showErrorMessage="0" allowBlank="1" type="decimal" operator="between">
      <formula1>1</formula1>
      <formula2>10</formula2>
    </dataValidation>
    <dataValidation sqref="H2:H15 J2:J15" showDropDown="0" showInputMessage="0" showErrorMessage="0" allowBlank="1" type="whole" operator="between">
      <formula1>0</formula1>
      <formula2>50</formula2>
    </dataValidation>
    <dataValidation sqref="L2:L15" showDropDown="0" showInputMessage="0" showErrorMessage="0" allowBlank="1" type="whole" operator="between">
      <formula1>0</formula1>
      <formula2>25</formula2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4" t="inlineStr">
        <is>
          <t>Day</t>
        </is>
      </c>
      <c r="B1" s="4" t="inlineStr">
        <is>
          <t>Left-Hand Zig-Zag</t>
        </is>
      </c>
      <c r="C1" s="4" t="inlineStr">
        <is>
          <t>Weak-Hand Finishing</t>
        </is>
      </c>
      <c r="D1" s="4" t="inlineStr">
        <is>
          <t>Stationary LH Dribble</t>
        </is>
      </c>
      <c r="E1" s="4" t="inlineStr">
        <is>
          <t>1-Hand Form Shooting</t>
        </is>
      </c>
      <c r="F1" s="4" t="inlineStr">
        <is>
          <t>Guide Hand Shooting</t>
        </is>
      </c>
      <c r="G1" s="4" t="inlineStr">
        <is>
          <t>Spot Shooting</t>
        </is>
      </c>
      <c r="H1" s="4" t="inlineStr">
        <is>
          <t>Free Throws</t>
        </is>
      </c>
      <c r="I1" s="4" t="inlineStr">
        <is>
          <t>Footwork No Ball</t>
        </is>
      </c>
      <c r="J1" s="4" t="inlineStr">
        <is>
          <t>Stop &amp; Pop</t>
        </is>
      </c>
      <c r="K1" s="4" t="inlineStr">
        <is>
          <t>Complete %</t>
        </is>
      </c>
    </row>
    <row r="2">
      <c r="A2" s="22" t="n">
        <v>1</v>
      </c>
      <c r="B2" s="23" t="n"/>
      <c r="C2" s="23" t="n"/>
      <c r="D2" s="23" t="n"/>
      <c r="E2" s="23" t="n"/>
      <c r="F2" s="23" t="n"/>
      <c r="G2" s="23" t="n"/>
      <c r="H2" s="23" t="n"/>
      <c r="I2" s="23" t="n"/>
      <c r="J2" s="23" t="n"/>
      <c r="K2" s="24">
        <f>COUNTIF(B2:J2,"Yes")/9</f>
        <v/>
      </c>
    </row>
    <row r="3">
      <c r="A3" s="22" t="n">
        <v>2</v>
      </c>
      <c r="B3" s="23" t="n"/>
      <c r="C3" s="23" t="n"/>
      <c r="D3" s="23" t="n"/>
      <c r="E3" s="23" t="n"/>
      <c r="F3" s="23" t="n"/>
      <c r="G3" s="23" t="n"/>
      <c r="H3" s="23" t="n"/>
      <c r="I3" s="23" t="n"/>
      <c r="J3" s="23" t="n"/>
      <c r="K3" s="24">
        <f>COUNTIF(B3:J3,"Yes")/9</f>
        <v/>
      </c>
    </row>
    <row r="4">
      <c r="A4" s="22" t="n">
        <v>3</v>
      </c>
      <c r="B4" s="23" t="n"/>
      <c r="C4" s="23" t="n"/>
      <c r="D4" s="23" t="n"/>
      <c r="E4" s="23" t="n"/>
      <c r="F4" s="23" t="n"/>
      <c r="G4" s="23" t="n"/>
      <c r="H4" s="23" t="n"/>
      <c r="I4" s="23" t="n"/>
      <c r="J4" s="23" t="n"/>
      <c r="K4" s="24">
        <f>COUNTIF(B4:J4,"Yes")/9</f>
        <v/>
      </c>
    </row>
    <row r="5">
      <c r="A5" s="22" t="n">
        <v>4</v>
      </c>
      <c r="B5" s="23" t="n"/>
      <c r="C5" s="23" t="n"/>
      <c r="D5" s="23" t="n"/>
      <c r="E5" s="23" t="n"/>
      <c r="F5" s="23" t="n"/>
      <c r="G5" s="23" t="n"/>
      <c r="H5" s="23" t="n"/>
      <c r="I5" s="23" t="n"/>
      <c r="J5" s="23" t="n"/>
      <c r="K5" s="24">
        <f>COUNTIF(B5:J5,"Yes")/9</f>
        <v/>
      </c>
    </row>
    <row r="6">
      <c r="A6" s="22" t="n">
        <v>5</v>
      </c>
      <c r="B6" s="23" t="n"/>
      <c r="C6" s="23" t="n"/>
      <c r="D6" s="23" t="n"/>
      <c r="E6" s="23" t="n"/>
      <c r="F6" s="23" t="n"/>
      <c r="G6" s="23" t="n"/>
      <c r="H6" s="23" t="n"/>
      <c r="I6" s="23" t="n"/>
      <c r="J6" s="23" t="n"/>
      <c r="K6" s="24">
        <f>COUNTIF(B6:J6,"Yes")/9</f>
        <v/>
      </c>
    </row>
    <row r="7">
      <c r="A7" s="22" t="n">
        <v>6</v>
      </c>
      <c r="B7" s="23" t="n"/>
      <c r="C7" s="23" t="n"/>
      <c r="D7" s="23" t="n"/>
      <c r="E7" s="23" t="n"/>
      <c r="F7" s="23" t="n"/>
      <c r="G7" s="23" t="n"/>
      <c r="H7" s="23" t="n"/>
      <c r="I7" s="23" t="n"/>
      <c r="J7" s="23" t="n"/>
      <c r="K7" s="24">
        <f>COUNTIF(B7:J7,"Yes")/9</f>
        <v/>
      </c>
    </row>
    <row r="8">
      <c r="A8" s="22" t="n">
        <v>7</v>
      </c>
      <c r="B8" s="23" t="n"/>
      <c r="C8" s="23" t="n"/>
      <c r="D8" s="23" t="n"/>
      <c r="E8" s="23" t="n"/>
      <c r="F8" s="23" t="n"/>
      <c r="G8" s="23" t="n"/>
      <c r="H8" s="23" t="n"/>
      <c r="I8" s="23" t="n"/>
      <c r="J8" s="23" t="n"/>
      <c r="K8" s="24">
        <f>COUNTIF(B8:J8,"Yes")/9</f>
        <v/>
      </c>
    </row>
    <row r="9">
      <c r="A9" s="22" t="n">
        <v>8</v>
      </c>
      <c r="B9" s="23" t="n"/>
      <c r="C9" s="23" t="n"/>
      <c r="D9" s="23" t="n"/>
      <c r="E9" s="23" t="n"/>
      <c r="F9" s="23" t="n"/>
      <c r="G9" s="23" t="n"/>
      <c r="H9" s="23" t="n"/>
      <c r="I9" s="23" t="n"/>
      <c r="J9" s="23" t="n"/>
      <c r="K9" s="24">
        <f>COUNTIF(B9:J9,"Yes")/9</f>
        <v/>
      </c>
    </row>
    <row r="10">
      <c r="A10" s="22" t="n">
        <v>9</v>
      </c>
      <c r="B10" s="23" t="n"/>
      <c r="C10" s="23" t="n"/>
      <c r="D10" s="23" t="n"/>
      <c r="E10" s="23" t="n"/>
      <c r="F10" s="23" t="n"/>
      <c r="G10" s="23" t="n"/>
      <c r="H10" s="23" t="n"/>
      <c r="I10" s="23" t="n"/>
      <c r="J10" s="23" t="n"/>
      <c r="K10" s="24">
        <f>COUNTIF(B10:J10,"Yes")/9</f>
        <v/>
      </c>
    </row>
    <row r="11">
      <c r="A11" s="22" t="n">
        <v>10</v>
      </c>
      <c r="B11" s="23" t="n"/>
      <c r="C11" s="23" t="n"/>
      <c r="D11" s="23" t="n"/>
      <c r="E11" s="23" t="n"/>
      <c r="F11" s="23" t="n"/>
      <c r="G11" s="23" t="n"/>
      <c r="H11" s="23" t="n"/>
      <c r="I11" s="23" t="n"/>
      <c r="J11" s="23" t="n"/>
      <c r="K11" s="24">
        <f>COUNTIF(B11:J11,"Yes")/9</f>
        <v/>
      </c>
    </row>
    <row r="12">
      <c r="A12" s="22" t="n">
        <v>11</v>
      </c>
      <c r="B12" s="23" t="n"/>
      <c r="C12" s="23" t="n"/>
      <c r="D12" s="23" t="n"/>
      <c r="E12" s="23" t="n"/>
      <c r="F12" s="23" t="n"/>
      <c r="G12" s="23" t="n"/>
      <c r="H12" s="23" t="n"/>
      <c r="I12" s="23" t="n"/>
      <c r="J12" s="23" t="n"/>
      <c r="K12" s="24">
        <f>COUNTIF(B12:J12,"Yes")/9</f>
        <v/>
      </c>
    </row>
    <row r="13">
      <c r="A13" s="22" t="n">
        <v>12</v>
      </c>
      <c r="B13" s="23" t="n"/>
      <c r="C13" s="23" t="n"/>
      <c r="D13" s="23" t="n"/>
      <c r="E13" s="23" t="n"/>
      <c r="F13" s="23" t="n"/>
      <c r="G13" s="23" t="n"/>
      <c r="H13" s="23" t="n"/>
      <c r="I13" s="23" t="n"/>
      <c r="J13" s="23" t="n"/>
      <c r="K13" s="24">
        <f>COUNTIF(B13:J13,"Yes")/9</f>
        <v/>
      </c>
    </row>
    <row r="14">
      <c r="A14" s="22" t="n">
        <v>13</v>
      </c>
      <c r="B14" s="23" t="n"/>
      <c r="C14" s="23" t="n"/>
      <c r="D14" s="23" t="n"/>
      <c r="E14" s="23" t="n"/>
      <c r="F14" s="23" t="n"/>
      <c r="G14" s="23" t="n"/>
      <c r="H14" s="23" t="n"/>
      <c r="I14" s="23" t="n"/>
      <c r="J14" s="23" t="n"/>
      <c r="K14" s="24">
        <f>COUNTIF(B14:J14,"Yes")/9</f>
        <v/>
      </c>
    </row>
    <row r="15">
      <c r="A15" s="22" t="n">
        <v>14</v>
      </c>
      <c r="B15" s="23" t="n"/>
      <c r="C15" s="23" t="n"/>
      <c r="D15" s="23" t="n"/>
      <c r="E15" s="23" t="n"/>
      <c r="F15" s="23" t="n"/>
      <c r="G15" s="23" t="n"/>
      <c r="H15" s="23" t="n"/>
      <c r="I15" s="23" t="n"/>
      <c r="J15" s="23" t="n"/>
      <c r="K15" s="24">
        <f>COUNTIF(B15:J15,"Yes")/9</f>
        <v/>
      </c>
    </row>
  </sheetData>
  <dataValidations count="1">
    <dataValidation sqref="B2:J15 C2:C15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75" customWidth="1" min="2" max="2"/>
    <col width="20" customWidth="1" min="3" max="3"/>
    <col width="20" customWidth="1" min="4" max="4"/>
  </cols>
  <sheetData>
    <row r="1">
      <c r="A1" s="25" t="inlineStr">
        <is>
          <t>How to Use This Workbook</t>
        </is>
      </c>
      <c r="B1" s="2" t="n"/>
      <c r="C1" s="2" t="n"/>
      <c r="D1" s="2" t="n"/>
    </row>
    <row r="2">
      <c r="A2" s="9" t="inlineStr">
        <is>
          <t>1</t>
        </is>
      </c>
      <c r="B2" s="9" t="inlineStr">
        <is>
          <t>Use Training Log daily</t>
        </is>
      </c>
      <c r="C2" s="9" t="inlineStr">
        <is>
          <t>Enter only the blue input cells. Percentages calculate automatically.</t>
        </is>
      </c>
      <c r="D2" s="2" t="n"/>
    </row>
    <row r="3">
      <c r="A3" s="10" t="inlineStr">
        <is>
          <t>2</t>
        </is>
      </c>
      <c r="B3" s="10" t="inlineStr">
        <is>
          <t>Use Daily Checklist</t>
        </is>
      </c>
      <c r="C3" s="10" t="inlineStr">
        <is>
          <t>Mark Yes when a drill is complete. The completion percentage calculates automatically.</t>
        </is>
      </c>
      <c r="D3" s="2" t="n"/>
    </row>
    <row r="4">
      <c r="A4" s="10" t="inlineStr">
        <is>
          <t>3</t>
        </is>
      </c>
      <c r="B4" s="10" t="inlineStr">
        <is>
          <t>Review Dashboard</t>
        </is>
      </c>
      <c r="C4" s="10" t="inlineStr">
        <is>
          <t>Charts update as data is entered. Use Latest vs Target to guide next training block.</t>
        </is>
      </c>
      <c r="D4" s="2" t="n"/>
    </row>
    <row r="5">
      <c r="A5" s="10" t="inlineStr">
        <is>
          <t>4</t>
        </is>
      </c>
      <c r="B5" s="10" t="inlineStr">
        <is>
          <t>Reassess after Day 14</t>
        </is>
      </c>
      <c r="C5" s="10" t="inlineStr">
        <is>
          <t>Modify the training emphasis only after a 2-week sample, unless there is pain or injury.</t>
        </is>
      </c>
      <c r="D5" s="2" t="n"/>
    </row>
    <row r="6">
      <c r="A6" s="2" t="n"/>
      <c r="B6" s="2" t="n"/>
      <c r="C6" s="2" t="n"/>
      <c r="D6" s="2" t="n"/>
    </row>
    <row r="7">
      <c r="A7" s="2" t="n"/>
      <c r="B7" s="2" t="n"/>
      <c r="C7" s="2" t="n"/>
      <c r="D7" s="2" t="n"/>
    </row>
    <row r="8">
      <c r="A8" s="9" t="inlineStr">
        <is>
          <t>Instruction Video Links</t>
        </is>
      </c>
      <c r="B8" s="2" t="n"/>
      <c r="C8" s="2" t="n"/>
      <c r="D8" s="2" t="n"/>
    </row>
    <row r="9">
      <c r="A9" s="2" t="n"/>
      <c r="B9" s="2" t="n"/>
      <c r="C9" s="2" t="n"/>
      <c r="D9" s="2" t="n"/>
    </row>
    <row r="10">
      <c r="A10" s="2" t="inlineStr">
        <is>
          <t>Weak-Hand Ball Handling</t>
        </is>
      </c>
      <c r="B10" s="26" t="inlineStr">
        <is>
          <t>https://www.youtube.com/results?search_query=weak+hand+basketball+dribbling+drills+youth</t>
        </is>
      </c>
      <c r="C10" s="2" t="n"/>
      <c r="D10" s="2" t="n"/>
    </row>
    <row r="11">
      <c r="A11" s="2" t="inlineStr">
        <is>
          <t>Form Shooting Fundamentals</t>
        </is>
      </c>
      <c r="B11" s="26" t="inlineStr">
        <is>
          <t>https://www.youtube.com/results?search_query=basketball+form+shooting+fundamentals+youth</t>
        </is>
      </c>
      <c r="C11" s="2" t="n"/>
      <c r="D11" s="2" t="n"/>
    </row>
    <row r="12">
      <c r="A12" s="2" t="inlineStr">
        <is>
          <t>Guide Hand Shooting Fix</t>
        </is>
      </c>
      <c r="B12" s="26" t="inlineStr">
        <is>
          <t>https://www.youtube.com/results?search_query=basketball+guide+hand+thumb+flick+fix</t>
        </is>
      </c>
      <c r="C12" s="2" t="n"/>
      <c r="D12" s="2" t="n"/>
    </row>
    <row r="13">
      <c r="A13" s="2" t="inlineStr">
        <is>
          <t>Free Throw Routine</t>
        </is>
      </c>
      <c r="B13" s="26" t="inlineStr">
        <is>
          <t>https://www.youtube.com/results?search_query=basketball+free+throw+routine+fundamentals</t>
        </is>
      </c>
      <c r="C13" s="2" t="n"/>
      <c r="D13" s="2" t="n"/>
    </row>
    <row r="14">
      <c r="A14" s="2" t="inlineStr">
        <is>
          <t>Footwork Stop and Pop</t>
        </is>
      </c>
      <c r="B14" s="26" t="inlineStr">
        <is>
          <t>https://www.youtube.com/results?search_query=basketball+stop+and+pop+footwork+drill</t>
        </is>
      </c>
      <c r="C14" s="2" t="n"/>
      <c r="D14" s="2" t="n"/>
    </row>
    <row r="15">
      <c r="A15" s="2" t="inlineStr">
        <is>
          <t>Big Player Footwork</t>
        </is>
      </c>
      <c r="B15" s="26" t="inlineStr">
        <is>
          <t>https://www.youtube.com/results?search_query=basketball+post+footwork+drills+youth</t>
        </is>
      </c>
      <c r="C15" s="2" t="n"/>
      <c r="D15" s="2" t="n"/>
    </row>
  </sheetData>
  <mergeCells count="2">
    <mergeCell ref="A1:D1"/>
    <mergeCell ref="A8:D8"/>
  </mergeCells>
  <hyperlinks>
    <hyperlink xmlns:r="http://schemas.openxmlformats.org/officeDocument/2006/relationships" ref="B10" r:id="rId1"/>
    <hyperlink xmlns:r="http://schemas.openxmlformats.org/officeDocument/2006/relationships" ref="B11" r:id="rId2"/>
    <hyperlink xmlns:r="http://schemas.openxmlformats.org/officeDocument/2006/relationships" ref="B12" r:id="rId3"/>
    <hyperlink xmlns:r="http://schemas.openxmlformats.org/officeDocument/2006/relationships" ref="B13" r:id="rId4"/>
    <hyperlink xmlns:r="http://schemas.openxmlformats.org/officeDocument/2006/relationships" ref="B14" r:id="rId5"/>
    <hyperlink xmlns:r="http://schemas.openxmlformats.org/officeDocument/2006/relationships" ref="B15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2026-05-04T18:22:42Z</dcterms:created>
  <dcterms:modified xmlns:dcterms="http://purl.org/dc/terms/" xmlns:xsi="http://www.w3.org/2001/XMLSchema-instance" xsi:type="dcterms:W3CDTF">2026-05-04T18:22:43Z</dcterms:modified>
</cp:coreProperties>
</file>